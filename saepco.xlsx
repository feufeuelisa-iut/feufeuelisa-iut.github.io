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tion des ventes" sheetId="1" r:id="rId4"/>
    <sheet state="visible" name="évolution CA" sheetId="2" r:id="rId5"/>
    <sheet state="visible" name="N 2024" sheetId="3" r:id="rId6"/>
    <sheet state="visible" name="N+1 2025" sheetId="4" r:id="rId7"/>
    <sheet state="visible" name="N+2  2026" sheetId="5" r:id="rId8"/>
    <sheet state="visible" name="N+3 2027" sheetId="6" r:id="rId9"/>
    <sheet state="visible" name="N+4 2028" sheetId="7" r:id="rId10"/>
    <sheet state="visible" name="N+5 2029 " sheetId="8" r:id="rId11"/>
    <sheet state="visible" name="N+6 2030" sheetId="9" r:id="rId12"/>
    <sheet state="visible" name="N+7 2031 " sheetId="10" r:id="rId13"/>
    <sheet state="visible" name="N+8 2032" sheetId="11" r:id="rId14"/>
    <sheet state="visible" name="N+9 2033" sheetId="12" r:id="rId15"/>
    <sheet state="visible" name="N+9 2033 75%" sheetId="13" r:id="rId16"/>
    <sheet state="visible" name="Evolution des ventes " sheetId="14" r:id="rId17"/>
  </sheets>
  <definedNames/>
  <calcPr/>
</workbook>
</file>

<file path=xl/sharedStrings.xml><?xml version="1.0" encoding="utf-8"?>
<sst xmlns="http://schemas.openxmlformats.org/spreadsheetml/2006/main" count="2694" uniqueCount="231">
  <si>
    <t>Produit A</t>
  </si>
  <si>
    <t>Production</t>
  </si>
  <si>
    <t>Ventes</t>
  </si>
  <si>
    <t>Stocks</t>
  </si>
  <si>
    <t>Produit B</t>
  </si>
  <si>
    <t>Produit C</t>
  </si>
  <si>
    <t>Résultat</t>
  </si>
  <si>
    <t>CA</t>
  </si>
  <si>
    <t xml:space="preserve">BILAN </t>
  </si>
  <si>
    <t>COMPTE DE RESULTAT</t>
  </si>
  <si>
    <t>PRODUCTION</t>
  </si>
  <si>
    <t>COMMERCIALISATION</t>
  </si>
  <si>
    <t>AUTRES PREVISIONS</t>
  </si>
  <si>
    <t>ACTIF</t>
  </si>
  <si>
    <t>PASSIF</t>
  </si>
  <si>
    <t>CHARGES</t>
  </si>
  <si>
    <t>PRODUITS</t>
  </si>
  <si>
    <t>Quantité à produire</t>
  </si>
  <si>
    <t>Prix</t>
  </si>
  <si>
    <t>Qualité</t>
  </si>
  <si>
    <t>Communication</t>
  </si>
  <si>
    <t>Stock N-1</t>
  </si>
  <si>
    <t xml:space="preserve">Produit A </t>
  </si>
  <si>
    <t xml:space="preserve">Produit B </t>
  </si>
  <si>
    <t xml:space="preserve">Produit C </t>
  </si>
  <si>
    <t>Immobilisations</t>
  </si>
  <si>
    <t>Capitaux propres</t>
  </si>
  <si>
    <t>Achats de matières</t>
  </si>
  <si>
    <t xml:space="preserve">Ventes : </t>
  </si>
  <si>
    <t>Quantités vendues prévues</t>
  </si>
  <si>
    <t>Machines</t>
  </si>
  <si>
    <t>Capital</t>
  </si>
  <si>
    <t>Frais Fixes de production</t>
  </si>
  <si>
    <t>Coût de revient prévu</t>
  </si>
  <si>
    <t>Réserves</t>
  </si>
  <si>
    <t>Frais Fixes adm&amp;dist</t>
  </si>
  <si>
    <t>Coût de production prévu</t>
  </si>
  <si>
    <t>Résultat après I.S.</t>
  </si>
  <si>
    <t>Budget comm</t>
  </si>
  <si>
    <t>Productivité moyenne prévue</t>
  </si>
  <si>
    <t>Dettes</t>
  </si>
  <si>
    <t>Budget qualité</t>
  </si>
  <si>
    <t>Trésorerie (solde bancaire)</t>
  </si>
  <si>
    <t>Dette fiscal</t>
  </si>
  <si>
    <t>Etudes</t>
  </si>
  <si>
    <t>OUVRIERS</t>
  </si>
  <si>
    <t>Intérêts sur découvert à payer</t>
  </si>
  <si>
    <t>Budget R&amp;D</t>
  </si>
  <si>
    <t>Production stockée de produit Produit A</t>
  </si>
  <si>
    <t xml:space="preserve">Nombre </t>
  </si>
  <si>
    <t>Embauches (+)</t>
  </si>
  <si>
    <t>Licenciements (-)</t>
  </si>
  <si>
    <t>Salaires mens. (UM)</t>
  </si>
  <si>
    <t>Capacité salarié</t>
  </si>
  <si>
    <t>ETUDES</t>
  </si>
  <si>
    <t>Banque</t>
  </si>
  <si>
    <t>Coût de stockage</t>
  </si>
  <si>
    <t>Salaire</t>
  </si>
  <si>
    <t xml:space="preserve">Commandez-vous une étude : </t>
  </si>
  <si>
    <t>Dépréciation du stock</t>
  </si>
  <si>
    <t xml:space="preserve">sur la prévision des ventes ? </t>
  </si>
  <si>
    <t>NON</t>
  </si>
  <si>
    <t>TOTAL</t>
  </si>
  <si>
    <t>Charges salariales</t>
  </si>
  <si>
    <t>Etude gratuite</t>
  </si>
  <si>
    <t xml:space="preserve">Rappel du prix d'une étude </t>
  </si>
  <si>
    <t>Amortissements</t>
  </si>
  <si>
    <t>MACHINES</t>
  </si>
  <si>
    <t>Valeur(UM)</t>
  </si>
  <si>
    <t>Nombre de machines</t>
  </si>
  <si>
    <t>Achats</t>
  </si>
  <si>
    <t>rendement/ouvrier</t>
  </si>
  <si>
    <t>Intérêts sur découvert</t>
  </si>
  <si>
    <t>Machines classsiques</t>
  </si>
  <si>
    <t>Capacité</t>
  </si>
  <si>
    <t>OUVIERS</t>
  </si>
  <si>
    <t>Impôts</t>
  </si>
  <si>
    <t>Machines modernes</t>
  </si>
  <si>
    <t>Salaire minimum</t>
  </si>
  <si>
    <t>PB avec 25 et - 136 (mettre calcul résultat)</t>
  </si>
  <si>
    <t>Résultat net après IS ( bénéfice)</t>
  </si>
  <si>
    <t>Résultat net après IS (perte)</t>
  </si>
  <si>
    <t>Prime de licenciement</t>
  </si>
  <si>
    <t>6 mois de salaire</t>
  </si>
  <si>
    <t>Rappel du parc des machines</t>
  </si>
  <si>
    <t>Coûts fixes de production</t>
  </si>
  <si>
    <t xml:space="preserve">Coût fixe de distribution </t>
  </si>
  <si>
    <t>Mat. Prem. consommée par u produite</t>
  </si>
  <si>
    <t>Valeur d'un produit en stock</t>
  </si>
  <si>
    <t>type</t>
  </si>
  <si>
    <t>nombre</t>
  </si>
  <si>
    <t>âge</t>
  </si>
  <si>
    <t>rendement prévu</t>
  </si>
  <si>
    <t>capacité</t>
  </si>
  <si>
    <t>valeur</t>
  </si>
  <si>
    <t>ATTENTION : tableau à changer quand y'aura des nouveaux produits</t>
  </si>
  <si>
    <t>Investissement R&amp;D max autorisé</t>
  </si>
  <si>
    <t>SCIENTIFIQUE</t>
  </si>
  <si>
    <t xml:space="preserve">R&amp;D dévl Produit B </t>
  </si>
  <si>
    <t>TRESORERIE</t>
  </si>
  <si>
    <t>R&amp;D cumulé</t>
  </si>
  <si>
    <t>R&amp;D</t>
  </si>
  <si>
    <t>R&amp;D dévl Produit C</t>
  </si>
  <si>
    <t>Coût d'administration générale</t>
  </si>
  <si>
    <t>Rappel de la trésorerie (compte banc,) au 31/12/2023</t>
  </si>
  <si>
    <t>Voir bilan précédent</t>
  </si>
  <si>
    <t xml:space="preserve">R&amp;D cumulée dévl Produit C </t>
  </si>
  <si>
    <t>Prix d'une étude</t>
  </si>
  <si>
    <t>Rappel de la trésorerie prévisionnelle au 01/01/2024</t>
  </si>
  <si>
    <t>Voir bilan précendent</t>
  </si>
  <si>
    <t>Coût annuel d'entretien du stock en % de sa valeur</t>
  </si>
  <si>
    <t>Trésorerie au 01/01/2024</t>
  </si>
  <si>
    <t>Tient compte des frais fin,, impôts, achats et ventes des machines, des budgets R&amp;D, des placements en trésorerie et des emprunts bancaires</t>
  </si>
  <si>
    <t>,</t>
  </si>
  <si>
    <t>PREVISIONS</t>
  </si>
  <si>
    <t>Part budget pub /prix vente moyen du secteur (%)</t>
  </si>
  <si>
    <t>Trésoreri au 31/12/2024</t>
  </si>
  <si>
    <t>CA Prévisionnel</t>
  </si>
  <si>
    <t>Découvert moyen</t>
  </si>
  <si>
    <t>Calcul par intérpolation linéaire</t>
  </si>
  <si>
    <t>Résultat Prév. (après IS)</t>
  </si>
  <si>
    <t>Trésorerie prévisionelle au 01/01/2025</t>
  </si>
  <si>
    <t>Tient compte des frais financiers, des impôts, mais pas des investissements en machines ou R&amp;D, ni des dividendes, ni des nouveaux emrpunts ou placement</t>
  </si>
  <si>
    <t xml:space="preserve">UNITE DE PRODUCTION </t>
  </si>
  <si>
    <t>Rendement/Ouvrier</t>
  </si>
  <si>
    <t>Capacité de production</t>
  </si>
  <si>
    <t>Classiques</t>
  </si>
  <si>
    <t>FINANCEMENT</t>
  </si>
  <si>
    <t>Modernes</t>
  </si>
  <si>
    <t>Montant dividende versé cette année</t>
  </si>
  <si>
    <t>Maximim autorisé : 0</t>
  </si>
  <si>
    <t>FINANCEMENT (en%)</t>
  </si>
  <si>
    <t>Emprunt bancaire à souscrire</t>
  </si>
  <si>
    <t>Taux d'intérêt des emprunts</t>
  </si>
  <si>
    <t>Maximum autorisé : 0 à 10% remboursable en 3 annuités constantes</t>
  </si>
  <si>
    <t>Taux d'intérêt des découverts bancaires</t>
  </si>
  <si>
    <t xml:space="preserve">Montant de la trésorerie à placer </t>
  </si>
  <si>
    <t>Taux d'intérêt des placements de trésorerie</t>
  </si>
  <si>
    <t>Maximum autorisé : 0 à 5%</t>
  </si>
  <si>
    <t>Taux de l'impôt sur les sociétés</t>
  </si>
  <si>
    <t>Ratio moyen de versement des dividendes espéré</t>
  </si>
  <si>
    <t>COMMERCIAL</t>
  </si>
  <si>
    <t>Prix de vente</t>
  </si>
  <si>
    <t>Prix moyen du marché</t>
  </si>
  <si>
    <t>Budget publicitaire</t>
  </si>
  <si>
    <t>Budget pub. moyen du marché</t>
  </si>
  <si>
    <t>Budget qualité et services</t>
  </si>
  <si>
    <t>Indice qualité</t>
  </si>
  <si>
    <t>Indice qualité moyenne</t>
  </si>
  <si>
    <t>Volume des ventes</t>
  </si>
  <si>
    <t>CONCURRENCE</t>
  </si>
  <si>
    <t>Res. annuel</t>
  </si>
  <si>
    <t>ETAT DES STOCKS</t>
  </si>
  <si>
    <t>Stocks janvier 2024</t>
  </si>
  <si>
    <t>Quanité produite</t>
  </si>
  <si>
    <t>Sorties</t>
  </si>
  <si>
    <t>Stock décembre 2024</t>
  </si>
  <si>
    <t>Entreprise 1</t>
  </si>
  <si>
    <t>Entreprise 2</t>
  </si>
  <si>
    <t xml:space="preserve">Entreprise 3 </t>
  </si>
  <si>
    <t>Entreprise 4</t>
  </si>
  <si>
    <t>Entreprise 5</t>
  </si>
  <si>
    <t>Entreprise 6</t>
  </si>
  <si>
    <t>Entreprise 7</t>
  </si>
  <si>
    <t xml:space="preserve">Res. moyen : </t>
  </si>
  <si>
    <t xml:space="preserve">Votre popularité </t>
  </si>
  <si>
    <t>Assez bonne</t>
  </si>
  <si>
    <t>Fidélité des clients</t>
  </si>
  <si>
    <t>Vos clients apprécient</t>
  </si>
  <si>
    <t>cohérence positionnement</t>
  </si>
  <si>
    <t>La cohérence de votre positionnement n'est pas encore clairement reconnue</t>
  </si>
  <si>
    <t>égal</t>
  </si>
  <si>
    <t>DETAIL SUR LES PREVISIONS</t>
  </si>
  <si>
    <t>Prévu</t>
  </si>
  <si>
    <t>Réalisé</t>
  </si>
  <si>
    <t>Valeur max.</t>
  </si>
  <si>
    <t>Ecart</t>
  </si>
  <si>
    <t>Score de prévision</t>
  </si>
  <si>
    <t>Chiffre d'Affaires</t>
  </si>
  <si>
    <t>Note de conjoncture</t>
  </si>
  <si>
    <t>La demande de Produit A est en pleine croissance</t>
  </si>
  <si>
    <t>Production stockée de produit A</t>
  </si>
  <si>
    <t xml:space="preserve">gras = vérifier </t>
  </si>
  <si>
    <t>calculer sur papier --&gt;</t>
  </si>
  <si>
    <t>rouge = négatif</t>
  </si>
  <si>
    <t xml:space="preserve">Trésorerie N-1 - Intérêts découvert N-1  --&gt; </t>
  </si>
  <si>
    <t>Trésorerie au 01/01/2025</t>
  </si>
  <si>
    <t>PRODUIT</t>
  </si>
  <si>
    <t>Stock janvier 2025</t>
  </si>
  <si>
    <t>Stock déc. 2025</t>
  </si>
  <si>
    <t>Trésorerie au 31/12/2025</t>
  </si>
  <si>
    <t>Trésorerie prévisionelle au 01/01/2026</t>
  </si>
  <si>
    <t>Période de découvert</t>
  </si>
  <si>
    <t xml:space="preserve">Moyenne découvert sur la période </t>
  </si>
  <si>
    <t>Proportion découvert sur l'année</t>
  </si>
  <si>
    <t>EVOLUTION</t>
  </si>
  <si>
    <t>N</t>
  </si>
  <si>
    <t>N+1</t>
  </si>
  <si>
    <t>N+2</t>
  </si>
  <si>
    <t>N+3</t>
  </si>
  <si>
    <t>N+4</t>
  </si>
  <si>
    <t>N+5</t>
  </si>
  <si>
    <t>N+6</t>
  </si>
  <si>
    <t>Produits</t>
  </si>
  <si>
    <t>Production stochée de produit B</t>
  </si>
  <si>
    <t xml:space="preserve">Capacité totale ouvriers </t>
  </si>
  <si>
    <t xml:space="preserve">? </t>
  </si>
  <si>
    <t>Trésorerie au 01/01/2026</t>
  </si>
  <si>
    <t>Trésorerie au 31/12/2026</t>
  </si>
  <si>
    <t>Trésorerie prévisionelle au 01/01/2027</t>
  </si>
  <si>
    <t xml:space="preserve">Découvert bancaire </t>
  </si>
  <si>
    <t>Trésorerie au 01/01/2027</t>
  </si>
  <si>
    <t>Trésorerie au 31/12/2027</t>
  </si>
  <si>
    <t>produits exceptionnels</t>
  </si>
  <si>
    <t>vente de machines</t>
  </si>
  <si>
    <t>Valeur machines vendues</t>
  </si>
  <si>
    <t>Trésorerie au 01/01/2028</t>
  </si>
  <si>
    <t>Trésorerie au 31/12/2028</t>
  </si>
  <si>
    <t>Découvert bancaire</t>
  </si>
  <si>
    <t>Produits exceptionnels</t>
  </si>
  <si>
    <t>N+7</t>
  </si>
  <si>
    <t xml:space="preserve">CA </t>
  </si>
  <si>
    <t>production stockée de produit C</t>
  </si>
  <si>
    <t>Tient compte des frais financie</t>
  </si>
  <si>
    <t>Tient compte des frais financier</t>
  </si>
  <si>
    <t>négatif</t>
  </si>
  <si>
    <t>N+8</t>
  </si>
  <si>
    <t>année</t>
  </si>
  <si>
    <t>stockés</t>
  </si>
  <si>
    <t>produits</t>
  </si>
  <si>
    <t>vendus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</si>
</sst>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b/>
      <color rgb="FFFF00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b/>
      <color rgb="FFFFFFFF"/>
      <name val="Arial"/>
    </font>
    <font>
      <color rgb="FFFFFF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7E8F4"/>
        <bgColor rgb="FFD7E8F4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AEBD"/>
        <bgColor rgb="FFFFAEB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46BDC6"/>
        <bgColor rgb="FF46BDC6"/>
      </patternFill>
    </fill>
    <fill>
      <patternFill patternType="solid">
        <fgColor rgb="FF2A6082"/>
        <bgColor rgb="FF2A6082"/>
      </patternFill>
    </fill>
    <fill>
      <patternFill patternType="solid">
        <fgColor rgb="FF7096B0"/>
        <bgColor rgb="FF7096B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1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Font="1"/>
    <xf borderId="0" fillId="4" fontId="1" numFmtId="0" xfId="0" applyFill="1" applyFont="1"/>
    <xf borderId="0" fillId="0" fontId="6" numFmtId="0" xfId="0" applyAlignment="1" applyFont="1">
      <alignment readingOrder="0"/>
    </xf>
    <xf borderId="0" fillId="0" fontId="6" numFmtId="0" xfId="0" applyFont="1"/>
    <xf borderId="2" fillId="5" fontId="2" numFmtId="0" xfId="0" applyAlignment="1" applyBorder="1" applyFill="1" applyFont="1">
      <alignment readingOrder="0"/>
    </xf>
    <xf borderId="2" fillId="5" fontId="2" numFmtId="0" xfId="0" applyBorder="1" applyFont="1"/>
    <xf borderId="3" fillId="5" fontId="1" numFmtId="0" xfId="0" applyBorder="1" applyFont="1"/>
    <xf borderId="4" fillId="5" fontId="2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5" fillId="3" fontId="2" numFmtId="0" xfId="0" applyAlignment="1" applyBorder="1" applyFont="1">
      <alignment readingOrder="0"/>
    </xf>
    <xf borderId="5" fillId="3" fontId="1" numFmtId="0" xfId="0" applyBorder="1" applyFont="1"/>
    <xf borderId="6" fillId="3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1" xfId="0" applyBorder="1" applyFont="1" applyNumberFormat="1"/>
    <xf borderId="6" fillId="0" fontId="1" numFmtId="0" xfId="0" applyBorder="1" applyFont="1"/>
    <xf borderId="5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Border="1" applyFont="1"/>
    <xf borderId="6" fillId="0" fontId="1" numFmtId="0" xfId="0" applyAlignment="1" applyBorder="1" applyFont="1">
      <alignment readingOrder="0"/>
    </xf>
    <xf borderId="6" fillId="0" fontId="2" numFmtId="1" xfId="0" applyBorder="1" applyFont="1" applyNumberFormat="1"/>
    <xf borderId="1" fillId="8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10" fillId="3" fontId="2" numFmtId="0" xfId="0" applyAlignment="1" applyBorder="1" applyFont="1">
      <alignment readingOrder="0"/>
    </xf>
    <xf borderId="10" fillId="3" fontId="2" numFmtId="0" xfId="0" applyBorder="1" applyFont="1"/>
    <xf borderId="11" fillId="3" fontId="1" numFmtId="1" xfId="0" applyBorder="1" applyFont="1" applyNumberFormat="1"/>
    <xf borderId="1" fillId="9" fontId="3" numFmtId="0" xfId="0" applyAlignment="1" applyBorder="1" applyFill="1" applyFont="1">
      <alignment vertical="bottom"/>
    </xf>
    <xf borderId="1" fillId="5" fontId="1" numFmtId="0" xfId="0" applyAlignment="1" applyBorder="1" applyFont="1">
      <alignment readingOrder="0"/>
    </xf>
    <xf borderId="1" fillId="5" fontId="1" numFmtId="0" xfId="0" applyBorder="1" applyFont="1"/>
    <xf borderId="7" fillId="5" fontId="1" numFmtId="0" xfId="0" applyAlignment="1" applyBorder="1" applyFont="1">
      <alignment readingOrder="0"/>
    </xf>
    <xf borderId="1" fillId="9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3" numFmtId="0" xfId="0" applyAlignment="1" applyBorder="1" applyFont="1">
      <alignment vertical="bottom"/>
    </xf>
    <xf borderId="6" fillId="0" fontId="8" numFmtId="0" xfId="0" applyAlignment="1" applyBorder="1" applyFont="1">
      <alignment readingOrder="0"/>
    </xf>
    <xf borderId="11" fillId="3" fontId="2" numFmtId="1" xfId="0" applyBorder="1" applyFont="1" applyNumberFormat="1"/>
    <xf borderId="12" fillId="3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0" fillId="5" fontId="1" numFmtId="0" xfId="0" applyFont="1"/>
    <xf borderId="1" fillId="11" fontId="1" numFmtId="0" xfId="0" applyAlignment="1" applyBorder="1" applyFill="1" applyFont="1">
      <alignment readingOrder="0"/>
    </xf>
    <xf borderId="1" fillId="0" fontId="1" numFmtId="1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4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" fillId="1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12" fillId="0" fontId="1" numFmtId="0" xfId="0" applyBorder="1" applyFont="1"/>
    <xf borderId="15" fillId="0" fontId="1" numFmtId="0" xfId="0" applyAlignment="1" applyBorder="1" applyFont="1">
      <alignment readingOrder="0"/>
    </xf>
    <xf borderId="1" fillId="13" fontId="1" numFmtId="0" xfId="0" applyAlignment="1" applyBorder="1" applyFill="1" applyFont="1">
      <alignment readingOrder="0"/>
    </xf>
    <xf borderId="1" fillId="14" fontId="10" numFmtId="0" xfId="0" applyAlignment="1" applyBorder="1" applyFill="1" applyFont="1">
      <alignment readingOrder="0"/>
    </xf>
    <xf borderId="7" fillId="3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" fillId="15" fontId="1" numFmtId="0" xfId="0" applyAlignment="1" applyBorder="1" applyFill="1" applyFont="1">
      <alignment readingOrder="0"/>
    </xf>
    <xf borderId="1" fillId="16" fontId="1" numFmtId="0" xfId="0" applyAlignment="1" applyBorder="1" applyFill="1" applyFont="1">
      <alignment readingOrder="0"/>
    </xf>
    <xf borderId="1" fillId="17" fontId="1" numFmtId="0" xfId="0" applyAlignment="1" applyBorder="1" applyFill="1" applyFont="1">
      <alignment readingOrder="0"/>
    </xf>
    <xf borderId="1" fillId="18" fontId="1" numFmtId="0" xfId="0" applyAlignment="1" applyBorder="1" applyFill="1" applyFont="1">
      <alignment readingOrder="0"/>
    </xf>
    <xf borderId="1" fillId="17" fontId="1" numFmtId="1" xfId="0" applyAlignment="1" applyBorder="1" applyFont="1" applyNumberFormat="1">
      <alignment readingOrder="0"/>
    </xf>
    <xf borderId="1" fillId="19" fontId="1" numFmtId="0" xfId="0" applyAlignment="1" applyBorder="1" applyFill="1" applyFont="1">
      <alignment readingOrder="0"/>
    </xf>
    <xf borderId="1" fillId="0" fontId="1" numFmtId="9" xfId="0" applyAlignment="1" applyBorder="1" applyFont="1" applyNumberFormat="1">
      <alignment readingOrder="0"/>
    </xf>
    <xf borderId="6" fillId="20" fontId="1" numFmtId="1" xfId="0" applyAlignment="1" applyBorder="1" applyFill="1" applyFont="1" applyNumberFormat="1">
      <alignment readingOrder="0"/>
    </xf>
    <xf borderId="6" fillId="20" fontId="1" numFmtId="1" xfId="0" applyBorder="1" applyFont="1" applyNumberFormat="1"/>
    <xf borderId="6" fillId="20" fontId="1" numFmtId="0" xfId="0" applyBorder="1" applyFont="1"/>
    <xf borderId="6" fillId="0" fontId="1" numFmtId="1" xfId="0" applyAlignment="1" applyBorder="1" applyFont="1" applyNumberFormat="1">
      <alignment readingOrder="0"/>
    </xf>
    <xf borderId="6" fillId="20" fontId="1" numFmtId="0" xfId="0" applyAlignment="1" applyBorder="1" applyFont="1">
      <alignment readingOrder="0"/>
    </xf>
    <xf borderId="6" fillId="0" fontId="11" numFmtId="1" xfId="0" applyAlignment="1" applyBorder="1" applyFont="1" applyNumberFormat="1">
      <alignment readingOrder="0"/>
    </xf>
    <xf borderId="5" fillId="0" fontId="0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9" fillId="9" fontId="3" numFmtId="0" xfId="0" applyAlignment="1" applyBorder="1" applyFont="1">
      <alignment vertical="bottom"/>
    </xf>
    <xf borderId="11" fillId="5" fontId="1" numFmtId="0" xfId="0" applyAlignment="1" applyBorder="1" applyFont="1">
      <alignment readingOrder="0"/>
    </xf>
    <xf borderId="11" fillId="5" fontId="1" numFmtId="0" xfId="0" applyBorder="1" applyFont="1"/>
    <xf borderId="10" fillId="5" fontId="1" numFmtId="0" xfId="0" applyAlignment="1" applyBorder="1" applyFont="1">
      <alignment readingOrder="0"/>
    </xf>
    <xf borderId="0" fillId="5" fontId="12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0" fillId="0" fontId="1" numFmtId="1" xfId="0" applyFont="1" applyNumberFormat="1"/>
    <xf borderId="0" fillId="0" fontId="8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1" fillId="21" fontId="1" numFmtId="0" xfId="0" applyAlignment="1" applyBorder="1" applyFill="1" applyFont="1">
      <alignment readingOrder="0"/>
    </xf>
    <xf borderId="1" fillId="0" fontId="8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0" fillId="0" fontId="8" numFmtId="0" xfId="0" applyFont="1"/>
    <xf borderId="0" fillId="0" fontId="1" numFmtId="2" xfId="0" applyFont="1" applyNumberFormat="1"/>
    <xf borderId="6" fillId="20" fontId="13" numFmtId="1" xfId="0" applyBorder="1" applyFont="1" applyNumberFormat="1"/>
    <xf borderId="5" fillId="0" fontId="1" numFmtId="1" xfId="0" applyAlignment="1" applyBorder="1" applyFont="1" applyNumberFormat="1">
      <alignment readingOrder="0"/>
    </xf>
    <xf borderId="6" fillId="0" fontId="13" numFmtId="0" xfId="0" applyAlignment="1" applyBorder="1" applyFont="1">
      <alignment readingOrder="0"/>
    </xf>
    <xf borderId="1" fillId="12" fontId="8" numFmtId="0" xfId="0" applyAlignment="1" applyBorder="1" applyFont="1">
      <alignment horizontal="center" readingOrder="0"/>
    </xf>
    <xf borderId="1" fillId="12" fontId="1" numFmtId="0" xfId="0" applyAlignment="1" applyBorder="1" applyFont="1">
      <alignment horizontal="center" readingOrder="0"/>
    </xf>
    <xf borderId="6" fillId="20" fontId="11" numFmtId="1" xfId="0" applyBorder="1" applyFont="1" applyNumberFormat="1"/>
    <xf borderId="1" fillId="12" fontId="9" numFmtId="0" xfId="0" applyAlignment="1" applyBorder="1" applyFont="1">
      <alignment horizontal="center" readingOrder="0"/>
    </xf>
    <xf borderId="0" fillId="0" fontId="7" numFmtId="1" xfId="0" applyFont="1" applyNumberFormat="1"/>
    <xf borderId="0" fillId="0" fontId="14" numFmtId="0" xfId="0" applyFont="1"/>
    <xf borderId="0" fillId="0" fontId="7" numFmtId="2" xfId="0" applyFont="1" applyNumberFormat="1"/>
    <xf borderId="6" fillId="20" fontId="11" numFmtId="1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1" fillId="0" fontId="9" numFmtId="0" xfId="0" applyAlignment="1" applyBorder="1" applyFont="1">
      <alignment horizontal="center" readingOrder="0"/>
    </xf>
    <xf borderId="6" fillId="0" fontId="10" numFmtId="1" xfId="0" applyBorder="1" applyFont="1" applyNumberFormat="1"/>
    <xf borderId="6" fillId="0" fontId="10" numFmtId="1" xfId="0" applyAlignment="1" applyBorder="1" applyFont="1" applyNumberFormat="1">
      <alignment readingOrder="0"/>
    </xf>
    <xf borderId="6" fillId="0" fontId="10" numFmtId="0" xfId="0" applyAlignment="1" applyBorder="1" applyFont="1">
      <alignment readingOrder="0"/>
    </xf>
    <xf borderId="6" fillId="0" fontId="10" numFmtId="0" xfId="0" applyBorder="1" applyFont="1"/>
    <xf borderId="6" fillId="0" fontId="11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2" fillId="22" fontId="14" numFmtId="0" xfId="0" applyAlignment="1" applyBorder="1" applyFill="1" applyFont="1">
      <alignment readingOrder="0"/>
    </xf>
    <xf borderId="2" fillId="22" fontId="14" numFmtId="0" xfId="0" applyBorder="1" applyFont="1"/>
    <xf borderId="3" fillId="22" fontId="7" numFmtId="0" xfId="0" applyBorder="1" applyFont="1"/>
    <xf borderId="4" fillId="22" fontId="14" numFmtId="0" xfId="0" applyAlignment="1" applyBorder="1" applyFont="1">
      <alignment readingOrder="0"/>
    </xf>
    <xf borderId="2" fillId="22" fontId="7" numFmtId="0" xfId="0" applyBorder="1" applyFont="1"/>
    <xf borderId="5" fillId="23" fontId="14" numFmtId="0" xfId="0" applyAlignment="1" applyBorder="1" applyFill="1" applyFont="1">
      <alignment readingOrder="0"/>
    </xf>
    <xf borderId="5" fillId="23" fontId="7" numFmtId="0" xfId="0" applyBorder="1" applyFont="1"/>
    <xf borderId="6" fillId="23" fontId="7" numFmtId="0" xfId="0" applyBorder="1" applyFont="1"/>
    <xf borderId="5" fillId="4" fontId="1" numFmtId="0" xfId="0" applyAlignment="1" applyBorder="1" applyFont="1">
      <alignment readingOrder="0"/>
    </xf>
    <xf borderId="6" fillId="4" fontId="10" numFmtId="1" xfId="0" applyAlignment="1" applyBorder="1" applyFont="1" applyNumberFormat="1">
      <alignment readingOrder="0"/>
    </xf>
    <xf borderId="0" fillId="4" fontId="2" numFmtId="0" xfId="0" applyAlignment="1" applyFont="1">
      <alignment readingOrder="0"/>
    </xf>
    <xf borderId="6" fillId="4" fontId="1" numFmtId="0" xfId="0" applyBorder="1" applyFont="1"/>
    <xf borderId="0" fillId="0" fontId="1" numFmtId="1" xfId="0" applyAlignment="1" applyFont="1" applyNumberFormat="1">
      <alignment readingOrder="0"/>
    </xf>
    <xf borderId="5" fillId="4" fontId="2" numFmtId="0" xfId="0" applyAlignment="1" applyBorder="1" applyFont="1">
      <alignment readingOrder="0"/>
    </xf>
    <xf borderId="0" fillId="4" fontId="1" numFmtId="0" xfId="0" applyAlignment="1" applyFont="1">
      <alignment readingOrder="0"/>
    </xf>
    <xf borderId="6" fillId="4" fontId="1" numFmtId="1" xfId="0" applyAlignment="1" applyBorder="1" applyFont="1" applyNumberFormat="1">
      <alignment readingOrder="0"/>
    </xf>
    <xf borderId="5" fillId="4" fontId="2" numFmtId="0" xfId="0" applyBorder="1" applyFont="1"/>
    <xf borderId="5" fillId="4" fontId="1" numFmtId="0" xfId="0" applyBorder="1" applyFont="1"/>
    <xf borderId="6" fillId="4" fontId="1" numFmtId="0" xfId="0" applyAlignment="1" applyBorder="1" applyFont="1">
      <alignment readingOrder="0"/>
    </xf>
    <xf borderId="6" fillId="4" fontId="10" numFmtId="0" xfId="0" applyAlignment="1" applyBorder="1" applyFont="1">
      <alignment readingOrder="0"/>
    </xf>
    <xf borderId="6" fillId="4" fontId="2" numFmtId="0" xfId="0" applyBorder="1" applyFont="1"/>
    <xf borderId="11" fillId="8" fontId="1" numFmtId="0" xfId="0" applyAlignment="1" applyBorder="1" applyFont="1">
      <alignment readingOrder="0"/>
    </xf>
    <xf borderId="11" fillId="0" fontId="1" numFmtId="0" xfId="0" applyBorder="1" applyFont="1"/>
    <xf borderId="5" fillId="4" fontId="7" numFmtId="0" xfId="0" applyAlignment="1" applyBorder="1" applyFont="1">
      <alignment readingOrder="0"/>
    </xf>
    <xf borderId="6" fillId="4" fontId="10" numFmtId="0" xfId="0" applyBorder="1" applyFont="1"/>
    <xf borderId="6" fillId="4" fontId="11" numFmtId="1" xfId="0" applyAlignment="1" applyBorder="1" applyFont="1" applyNumberFormat="1">
      <alignment readingOrder="0"/>
    </xf>
    <xf borderId="9" fillId="22" fontId="14" numFmtId="0" xfId="0" applyAlignment="1" applyBorder="1" applyFont="1">
      <alignment readingOrder="0"/>
    </xf>
    <xf borderId="1" fillId="22" fontId="14" numFmtId="0" xfId="0" applyAlignment="1" applyBorder="1" applyFont="1">
      <alignment readingOrder="0"/>
    </xf>
    <xf borderId="5" fillId="4" fontId="0" numFmtId="0" xfId="0" applyAlignment="1" applyBorder="1" applyFont="1">
      <alignment readingOrder="0"/>
    </xf>
    <xf borderId="11" fillId="22" fontId="14" numFmtId="0" xfId="0" applyAlignment="1" applyBorder="1" applyFont="1">
      <alignment readingOrder="0"/>
    </xf>
    <xf borderId="10" fillId="23" fontId="15" numFmtId="0" xfId="0" applyAlignment="1" applyBorder="1" applyFont="1">
      <alignment readingOrder="0"/>
    </xf>
    <xf borderId="10" fillId="23" fontId="15" numFmtId="0" xfId="0" applyBorder="1" applyFont="1"/>
    <xf borderId="11" fillId="23" fontId="16" numFmtId="1" xfId="0" applyBorder="1" applyFont="1" applyNumberFormat="1"/>
    <xf borderId="0" fillId="4" fontId="7" numFmtId="0" xfId="0" applyAlignment="1" applyFont="1">
      <alignment readingOrder="0"/>
    </xf>
    <xf borderId="1" fillId="23" fontId="7" numFmtId="0" xfId="0" applyAlignment="1" applyBorder="1" applyFont="1">
      <alignment readingOrder="0"/>
    </xf>
    <xf borderId="1" fillId="4" fontId="10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23" fontId="7" numFmtId="0" xfId="0" applyBorder="1" applyFont="1"/>
    <xf borderId="6" fillId="4" fontId="2" numFmtId="0" xfId="0" applyAlignment="1" applyBorder="1" applyFont="1">
      <alignment readingOrder="0"/>
    </xf>
    <xf borderId="6" fillId="4" fontId="8" numFmtId="0" xfId="0" applyAlignment="1" applyBorder="1" applyFont="1">
      <alignment readingOrder="0"/>
    </xf>
    <xf borderId="1" fillId="4" fontId="8" numFmtId="1" xfId="0" applyAlignment="1" applyBorder="1" applyFont="1" applyNumberFormat="1">
      <alignment horizontal="center" readingOrder="0"/>
    </xf>
    <xf borderId="10" fillId="23" fontId="14" numFmtId="0" xfId="0" applyAlignment="1" applyBorder="1" applyFont="1">
      <alignment readingOrder="0"/>
    </xf>
    <xf borderId="11" fillId="23" fontId="14" numFmtId="1" xfId="0" applyBorder="1" applyFont="1" applyNumberFormat="1"/>
    <xf borderId="12" fillId="23" fontId="14" numFmtId="0" xfId="0" applyAlignment="1" applyBorder="1" applyFont="1">
      <alignment readingOrder="0"/>
    </xf>
    <xf borderId="11" fillId="23" fontId="7" numFmtId="1" xfId="0" applyBorder="1" applyFont="1" applyNumberFormat="1"/>
    <xf borderId="1" fillId="22" fontId="17" numFmtId="0" xfId="0" applyAlignment="1" applyBorder="1" applyFont="1">
      <alignment vertical="bottom"/>
    </xf>
    <xf borderId="1" fillId="23" fontId="18" numFmtId="0" xfId="0" applyAlignment="1" applyBorder="1" applyFont="1">
      <alignment vertical="bottom"/>
    </xf>
    <xf borderId="1" fillId="23" fontId="18" numFmtId="0" xfId="0" applyAlignment="1" applyBorder="1" applyFont="1">
      <alignment vertical="bottom"/>
    </xf>
    <xf borderId="0" fillId="24" fontId="1" numFmtId="0" xfId="0" applyFill="1" applyFont="1"/>
    <xf borderId="1" fillId="22" fontId="15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23" fontId="15" numFmtId="0" xfId="0" applyAlignment="1" applyBorder="1" applyFont="1">
      <alignment readingOrder="0"/>
    </xf>
    <xf borderId="1" fillId="23" fontId="14" numFmtId="0" xfId="0" applyAlignment="1" applyBorder="1" applyFont="1">
      <alignment readingOrder="0"/>
    </xf>
    <xf borderId="0" fillId="24" fontId="1" numFmtId="0" xfId="0" applyAlignment="1" applyFont="1">
      <alignment readingOrder="0"/>
    </xf>
    <xf borderId="0" fillId="24" fontId="10" numFmtId="0" xfId="0" applyAlignment="1" applyFont="1">
      <alignment horizontal="center" readingOrder="0"/>
    </xf>
    <xf borderId="0" fillId="24" fontId="8" numFmtId="0" xfId="0" applyAlignment="1" applyFont="1">
      <alignment horizontal="center" readingOrder="0"/>
    </xf>
    <xf borderId="0" fillId="24" fontId="1" numFmtId="0" xfId="0" applyAlignment="1" applyFont="1">
      <alignment horizontal="center" readingOrder="0"/>
    </xf>
    <xf borderId="0" fillId="24" fontId="8" numFmtId="1" xfId="0" applyAlignment="1" applyFont="1" applyNumberFormat="1">
      <alignment horizontal="center" readingOrder="0"/>
    </xf>
    <xf borderId="0" fillId="24" fontId="1" numFmtId="1" xfId="0" applyFont="1" applyNumberFormat="1"/>
    <xf borderId="0" fillId="24" fontId="8" numFmtId="0" xfId="0" applyFont="1"/>
    <xf borderId="0" fillId="24" fontId="1" numFmtId="2" xfId="0" applyFont="1" applyNumberFormat="1"/>
    <xf borderId="1" fillId="25" fontId="1" numFmtId="0" xfId="0" applyAlignment="1" applyBorder="1" applyFill="1" applyFont="1">
      <alignment readingOrder="0"/>
    </xf>
    <xf borderId="6" fillId="0" fontId="2" numFmtId="0" xfId="0" applyBorder="1" applyFont="1"/>
    <xf borderId="1" fillId="12" fontId="11" numFmtId="0" xfId="0" applyAlignment="1" applyBorder="1" applyFont="1">
      <alignment horizontal="center"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ventes'!$B$1:$B$13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ventes'!$C$1:$C$13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ventes'!$D$1:$D$13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ventes'!$E$1:$E$13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ventes'!$F$1:$F$13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ventes'!$G$1:$G$13</c:f>
              <c:numCache/>
            </c:numRef>
          </c:val>
          <c:smooth val="1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ventes'!$H$1:$H$13</c:f>
              <c:numCache/>
            </c:numRef>
          </c:val>
          <c:smooth val="1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ventes'!$I$1:$I$13</c:f>
              <c:numCache/>
            </c:numRef>
          </c:val>
          <c:smooth val="1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ventes'!$J$1:$J$13</c:f>
              <c:numCache/>
            </c:numRef>
          </c:val>
          <c:smooth val="1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'evolution des ventes'!$A$1:$A$13</c:f>
            </c:strRef>
          </c:cat>
          <c:val>
            <c:numRef>
              <c:f>'evolution des ventes'!$K$1:$K$13</c:f>
              <c:numCache/>
            </c:numRef>
          </c:val>
          <c:smooth val="1"/>
        </c:ser>
        <c:axId val="714529980"/>
        <c:axId val="949404948"/>
      </c:lineChart>
      <c:catAx>
        <c:axId val="714529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404948"/>
      </c:catAx>
      <c:valAx>
        <c:axId val="949404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529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Produit 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'evolution des ventes'!$A$3</c:f>
            </c:strRef>
          </c:tx>
          <c:spPr>
            <a:ln cmpd="sng">
              <a:solidFill>
                <a:srgbClr val="2A608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ventes'!$B$3:$K$3</c:f>
              <c:numCache/>
            </c:numRef>
          </c:val>
          <c:smooth val="1"/>
        </c:ser>
        <c:ser>
          <c:idx val="1"/>
          <c:order val="1"/>
          <c:tx>
            <c:strRef>
              <c:f>'evolution des ventes'!$A$4</c:f>
            </c:strRef>
          </c:tx>
          <c:spPr>
            <a:ln cmpd="sng">
              <a:solidFill>
                <a:srgbClr val="92AB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ventes'!$B$4:$K$4</c:f>
              <c:numCache/>
            </c:numRef>
          </c:val>
          <c:smooth val="1"/>
        </c:ser>
        <c:ser>
          <c:idx val="2"/>
          <c:order val="2"/>
          <c:tx>
            <c:strRef>
              <c:f>'evolution des ventes'!$A$5</c:f>
            </c:strRef>
          </c:tx>
          <c:spPr>
            <a:ln cmpd="sng">
              <a:solidFill>
                <a:srgbClr val="D7E8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ventes'!$B$5:$K$5</c:f>
              <c:numCache/>
            </c:numRef>
          </c:val>
          <c:smooth val="1"/>
        </c:ser>
        <c:axId val="291771219"/>
        <c:axId val="752729292"/>
      </c:lineChart>
      <c:catAx>
        <c:axId val="291771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729292"/>
      </c:catAx>
      <c:valAx>
        <c:axId val="752729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771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Produit B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'evolution des ventes'!$A$7</c:f>
            </c:strRef>
          </c:tx>
          <c:spPr>
            <a:ln cmpd="sng">
              <a:solidFill>
                <a:srgbClr val="2A608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ventes'!$B$7:$K$7</c:f>
              <c:numCache/>
            </c:numRef>
          </c:val>
          <c:smooth val="1"/>
        </c:ser>
        <c:ser>
          <c:idx val="1"/>
          <c:order val="1"/>
          <c:tx>
            <c:strRef>
              <c:f>'evolution des ventes'!$A$8</c:f>
            </c:strRef>
          </c:tx>
          <c:spPr>
            <a:ln cmpd="sng">
              <a:solidFill>
                <a:srgbClr val="92AB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ventes'!$B$8:$K$8</c:f>
              <c:numCache/>
            </c:numRef>
          </c:val>
          <c:smooth val="1"/>
        </c:ser>
        <c:ser>
          <c:idx val="2"/>
          <c:order val="2"/>
          <c:tx>
            <c:strRef>
              <c:f>'evolution des ventes'!$A$9</c:f>
            </c:strRef>
          </c:tx>
          <c:spPr>
            <a:ln cmpd="sng">
              <a:solidFill>
                <a:srgbClr val="D7E8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'evolution des ventes'!$B$1:$K$1</c:f>
            </c:strRef>
          </c:cat>
          <c:val>
            <c:numRef>
              <c:f>'evolution des ventes'!$B$9:$K$9</c:f>
              <c:numCache/>
            </c:numRef>
          </c:val>
          <c:smooth val="1"/>
        </c:ser>
        <c:axId val="368698401"/>
        <c:axId val="242948517"/>
      </c:lineChart>
      <c:catAx>
        <c:axId val="36869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948517"/>
      </c:catAx>
      <c:valAx>
        <c:axId val="242948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698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A6082"/>
                </a:solidFill>
                <a:latin typeface="+mn-lt"/>
              </a:defRPr>
            </a:pPr>
            <a:r>
              <a:rPr b="0">
                <a:solidFill>
                  <a:srgbClr val="2A6082"/>
                </a:solidFill>
                <a:latin typeface="+mn-lt"/>
              </a:rPr>
              <a:t>Rapport global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'évolution CA'!$A$2</c:f>
            </c:strRef>
          </c:tx>
          <c:spPr>
            <a:ln cmpd="sng">
              <a:solidFill>
                <a:srgbClr val="2A6082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'évolution CA'!$B$1:$K$1</c:f>
            </c:strRef>
          </c:cat>
          <c:val>
            <c:numRef>
              <c:f>'évolution CA'!$B$2:$K$2</c:f>
              <c:numCache/>
            </c:numRef>
          </c:val>
          <c:smooth val="1"/>
        </c:ser>
        <c:ser>
          <c:idx val="1"/>
          <c:order val="1"/>
          <c:tx>
            <c:strRef>
              <c:f>'évolution CA'!$A$3</c:f>
            </c:strRef>
          </c:tx>
          <c:spPr>
            <a:ln cmpd="sng">
              <a:solidFill>
                <a:srgbClr val="7096B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'évolution CA'!$B$1:$K$1</c:f>
            </c:strRef>
          </c:cat>
          <c:val>
            <c:numRef>
              <c:f>'évolution CA'!$B$3:$K$3</c:f>
              <c:numCache/>
            </c:numRef>
          </c:val>
          <c:smooth val="1"/>
        </c:ser>
        <c:axId val="154145171"/>
        <c:axId val="518703763"/>
      </c:lineChart>
      <c:catAx>
        <c:axId val="154145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703763"/>
      </c:catAx>
      <c:valAx>
        <c:axId val="518703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45171"/>
      </c:valAx>
    </c:plotArea>
    <c:legend>
      <c:legendPos val="r"/>
      <c:overlay val="0"/>
      <c:txPr>
        <a:bodyPr/>
        <a:lstStyle/>
        <a:p>
          <a:pPr lvl="0">
            <a:defRPr b="1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vendus par rapport à année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'Evolution des ventes '!$A$4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'Evolution des ventes '!$B$1:$J$1</c:f>
            </c:strRef>
          </c:cat>
          <c:val>
            <c:numRef>
              <c:f>'Evolution des ventes '!$B$4:$J$4</c:f>
              <c:numCache/>
            </c:numRef>
          </c:val>
          <c:smooth val="1"/>
        </c:ser>
        <c:axId val="546747739"/>
        <c:axId val="1219283945"/>
      </c:lineChart>
      <c:catAx>
        <c:axId val="546747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année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283945"/>
      </c:catAx>
      <c:valAx>
        <c:axId val="1219283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747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47625</xdr:colOff>
      <xdr:row>2</xdr:row>
      <xdr:rowOff>66675</xdr:rowOff>
    </xdr:from>
    <xdr:ext cx="7629525" cy="47244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847725</xdr:colOff>
      <xdr:row>15</xdr:row>
      <xdr:rowOff>57150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600075</xdr:colOff>
      <xdr:row>13</xdr:row>
      <xdr:rowOff>104775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5</xdr:row>
      <xdr:rowOff>66675</xdr:rowOff>
    </xdr:from>
    <xdr:ext cx="8143875" cy="502920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7</xdr:row>
      <xdr:rowOff>114300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2024.0</v>
      </c>
      <c r="C1" s="2">
        <v>2025.0</v>
      </c>
      <c r="D1" s="2">
        <v>2026.0</v>
      </c>
      <c r="E1" s="2">
        <v>2027.0</v>
      </c>
      <c r="F1" s="2">
        <v>2028.0</v>
      </c>
      <c r="G1" s="2">
        <v>2029.0</v>
      </c>
      <c r="H1" s="2">
        <v>2030.0</v>
      </c>
      <c r="I1" s="2">
        <v>2031.0</v>
      </c>
      <c r="J1" s="2">
        <v>2032.0</v>
      </c>
      <c r="K1" s="2">
        <v>2033.0</v>
      </c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1</v>
      </c>
      <c r="B3" s="6">
        <v>115.0</v>
      </c>
      <c r="C3" s="7">
        <v>146.0</v>
      </c>
      <c r="D3" s="7">
        <v>122.0</v>
      </c>
      <c r="E3" s="7">
        <v>245.0</v>
      </c>
      <c r="F3" s="7">
        <v>25.0</v>
      </c>
      <c r="G3" s="7">
        <v>100.0</v>
      </c>
      <c r="H3" s="7">
        <v>70.0</v>
      </c>
      <c r="I3" s="7">
        <v>3.0</v>
      </c>
      <c r="J3" s="7">
        <v>11.0</v>
      </c>
      <c r="K3" s="7">
        <v>0.0</v>
      </c>
    </row>
    <row r="4">
      <c r="A4" s="5" t="s">
        <v>2</v>
      </c>
      <c r="B4" s="8">
        <v>101.0</v>
      </c>
      <c r="C4" s="7">
        <v>160.0</v>
      </c>
      <c r="D4" s="7">
        <v>122.0</v>
      </c>
      <c r="E4" s="7">
        <v>75.0</v>
      </c>
      <c r="F4" s="7">
        <v>110.0</v>
      </c>
      <c r="G4" s="7">
        <v>88.0</v>
      </c>
      <c r="H4" s="7">
        <v>55.0</v>
      </c>
      <c r="I4" s="7">
        <v>51.0</v>
      </c>
      <c r="J4" s="7">
        <v>50.0</v>
      </c>
      <c r="K4" s="7">
        <v>19.0</v>
      </c>
    </row>
    <row r="5">
      <c r="A5" s="5" t="s">
        <v>3</v>
      </c>
      <c r="B5" s="8">
        <v>14.0</v>
      </c>
      <c r="C5" s="7">
        <v>0.0</v>
      </c>
      <c r="D5" s="7">
        <v>0.0</v>
      </c>
      <c r="E5" s="7">
        <v>170.0</v>
      </c>
      <c r="F5" s="7">
        <v>85.0</v>
      </c>
      <c r="G5" s="7">
        <v>97.0</v>
      </c>
      <c r="H5" s="7">
        <v>112.0</v>
      </c>
      <c r="I5" s="7">
        <v>64.0</v>
      </c>
      <c r="J5" s="7">
        <v>25.0</v>
      </c>
      <c r="K5" s="7">
        <v>6.0</v>
      </c>
    </row>
    <row r="6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5" t="s">
        <v>1</v>
      </c>
      <c r="B7" s="7">
        <v>0.0</v>
      </c>
      <c r="C7" s="7">
        <v>0.0</v>
      </c>
      <c r="D7" s="7">
        <v>130.0</v>
      </c>
      <c r="E7" s="7">
        <v>40.0</v>
      </c>
      <c r="F7" s="7">
        <v>200.0</v>
      </c>
      <c r="G7" s="7">
        <v>170.0</v>
      </c>
      <c r="H7" s="7">
        <v>230.0</v>
      </c>
      <c r="I7" s="7">
        <v>297.0</v>
      </c>
      <c r="J7" s="7">
        <v>60.0</v>
      </c>
      <c r="K7" s="7">
        <v>80.0</v>
      </c>
    </row>
    <row r="8">
      <c r="A8" s="5" t="s">
        <v>2</v>
      </c>
      <c r="B8" s="7">
        <v>0.0</v>
      </c>
      <c r="C8" s="7">
        <v>0.0</v>
      </c>
      <c r="D8" s="7">
        <v>72.0</v>
      </c>
      <c r="E8" s="7">
        <v>98.0</v>
      </c>
      <c r="F8" s="7">
        <v>136.0</v>
      </c>
      <c r="G8" s="7">
        <v>216.0</v>
      </c>
      <c r="H8" s="7">
        <v>224.0</v>
      </c>
      <c r="I8" s="7">
        <v>175.0</v>
      </c>
      <c r="J8" s="7">
        <v>186.0</v>
      </c>
      <c r="K8" s="7">
        <v>100.0</v>
      </c>
    </row>
    <row r="9">
      <c r="A9" s="5" t="s">
        <v>3</v>
      </c>
      <c r="B9" s="7">
        <v>0.0</v>
      </c>
      <c r="C9" s="7">
        <v>0.0</v>
      </c>
      <c r="D9" s="7">
        <v>58.0</v>
      </c>
      <c r="E9" s="7">
        <v>0.0</v>
      </c>
      <c r="F9" s="7">
        <v>64.0</v>
      </c>
      <c r="G9" s="7">
        <v>18.0</v>
      </c>
      <c r="H9" s="7">
        <v>24.0</v>
      </c>
      <c r="I9" s="7">
        <v>146.0</v>
      </c>
      <c r="J9" s="7">
        <v>20.0</v>
      </c>
      <c r="K9" s="7">
        <v>0.0</v>
      </c>
    </row>
    <row r="10">
      <c r="A10" s="3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5" t="s">
        <v>1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220.0</v>
      </c>
      <c r="K11" s="7">
        <v>275.0</v>
      </c>
    </row>
    <row r="12">
      <c r="A12" s="5" t="s">
        <v>2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220.0</v>
      </c>
      <c r="K12" s="7">
        <v>275.0</v>
      </c>
    </row>
    <row r="13">
      <c r="A13" s="5" t="s">
        <v>3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</row>
    <row r="17">
      <c r="D17" s="9"/>
    </row>
    <row r="20">
      <c r="B20" s="9"/>
      <c r="C20" s="9"/>
      <c r="D20" s="9"/>
    </row>
    <row r="21">
      <c r="B21" s="10"/>
      <c r="C21" s="9"/>
      <c r="D21" s="10"/>
    </row>
    <row r="22">
      <c r="B22" s="10"/>
      <c r="D22" s="10"/>
    </row>
    <row r="23">
      <c r="B23" s="10"/>
      <c r="D23" s="10"/>
    </row>
    <row r="24">
      <c r="B24" s="10"/>
      <c r="D24" s="10"/>
    </row>
    <row r="25">
      <c r="B25" s="10"/>
      <c r="D25" s="10"/>
    </row>
    <row r="26">
      <c r="B26" s="10"/>
      <c r="D26" s="10"/>
    </row>
    <row r="27">
      <c r="B27" s="10"/>
      <c r="D27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B1" s="2">
        <v>2024.0</v>
      </c>
      <c r="C1" s="2">
        <v>2025.0</v>
      </c>
      <c r="D1" s="2">
        <v>2026.0</v>
      </c>
      <c r="E1" s="2">
        <v>2027.0</v>
      </c>
      <c r="F1" s="2">
        <v>2028.0</v>
      </c>
      <c r="G1" s="2">
        <v>2029.0</v>
      </c>
      <c r="H1" s="2">
        <v>2030.0</v>
      </c>
      <c r="I1" s="2">
        <v>2031.0</v>
      </c>
      <c r="J1" s="2">
        <v>2032.0</v>
      </c>
      <c r="K1" s="2">
        <v>2033.0</v>
      </c>
    </row>
    <row r="2">
      <c r="A2" s="12" t="s">
        <v>6</v>
      </c>
      <c r="B2" s="13">
        <v>-136.0</v>
      </c>
      <c r="C2" s="13">
        <v>-103.0</v>
      </c>
      <c r="D2" s="13">
        <v>-52.0</v>
      </c>
      <c r="E2" s="13">
        <v>-822.0</v>
      </c>
      <c r="F2" s="13">
        <v>887.0</v>
      </c>
      <c r="G2" s="13">
        <v>751.0</v>
      </c>
      <c r="H2" s="13">
        <v>86.0</v>
      </c>
      <c r="I2" s="13">
        <v>-463.0</v>
      </c>
      <c r="J2" s="13">
        <v>1023.0</v>
      </c>
      <c r="K2" s="13">
        <v>169.0</v>
      </c>
    </row>
    <row r="3">
      <c r="A3" s="12" t="s">
        <v>7</v>
      </c>
      <c r="B3" s="13">
        <v>1616.0</v>
      </c>
      <c r="C3" s="13">
        <v>2880.0</v>
      </c>
      <c r="D3" s="13">
        <v>3348.0</v>
      </c>
      <c r="E3" s="13">
        <v>2993.0</v>
      </c>
      <c r="F3" s="13">
        <v>4156.0</v>
      </c>
      <c r="G3" s="13">
        <v>5040.0</v>
      </c>
      <c r="H3" s="13">
        <v>4574.0</v>
      </c>
      <c r="I3" s="13">
        <v>3718.0</v>
      </c>
      <c r="J3" s="13">
        <v>7210.0</v>
      </c>
      <c r="K3" s="13">
        <v>6242.0</v>
      </c>
    </row>
    <row r="4">
      <c r="A4" s="12"/>
    </row>
    <row r="16">
      <c r="L16" s="14"/>
    </row>
    <row r="22">
      <c r="O22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4.0"/>
    <col customWidth="1" min="6" max="6" width="25.38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 t="s">
        <v>8</v>
      </c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28">
        <f>L10*O10*Q14*0.8</f>
        <v>115.2</v>
      </c>
      <c r="H3" s="12" t="s">
        <v>28</v>
      </c>
      <c r="I3" s="29"/>
      <c r="K3" s="22" t="s">
        <v>0</v>
      </c>
      <c r="L3" s="7">
        <v>120.0</v>
      </c>
      <c r="M3" s="7">
        <v>16.0</v>
      </c>
      <c r="N3" s="7">
        <v>50.0</v>
      </c>
      <c r="O3" s="7">
        <v>100.0</v>
      </c>
      <c r="P3" s="7">
        <v>0.0</v>
      </c>
      <c r="S3" s="23" t="s">
        <v>29</v>
      </c>
      <c r="T3" s="1"/>
      <c r="U3" s="1"/>
      <c r="V3" s="1"/>
    </row>
    <row r="4">
      <c r="A4" s="27" t="s">
        <v>30</v>
      </c>
      <c r="B4" s="30">
        <f>Q13-G13</f>
        <v>800</v>
      </c>
      <c r="C4" s="27" t="s">
        <v>31</v>
      </c>
      <c r="D4" s="29">
        <f>T39</f>
        <v>1000</v>
      </c>
      <c r="F4" s="27" t="s">
        <v>32</v>
      </c>
      <c r="G4" s="28">
        <f>T21</f>
        <v>100</v>
      </c>
      <c r="H4" s="13" t="s">
        <v>22</v>
      </c>
      <c r="I4" s="29">
        <f>M50*L50</f>
        <v>1616</v>
      </c>
      <c r="K4" s="22" t="s">
        <v>23</v>
      </c>
      <c r="L4" s="1"/>
      <c r="M4" s="1"/>
      <c r="N4" s="1"/>
      <c r="O4" s="1"/>
      <c r="P4" s="1"/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29"/>
      <c r="F5" s="27" t="s">
        <v>35</v>
      </c>
      <c r="G5" s="29">
        <f>U21+T25</f>
        <v>300</v>
      </c>
      <c r="I5" s="29"/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28">
        <f>R58</f>
        <v>-135.6</v>
      </c>
      <c r="F6" s="27" t="s">
        <v>38</v>
      </c>
      <c r="G6" s="29">
        <f>O3</f>
        <v>100</v>
      </c>
      <c r="I6" s="29"/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29">
        <f>N3</f>
        <v>50</v>
      </c>
      <c r="I7" s="29"/>
      <c r="S7" s="23" t="s">
        <v>42</v>
      </c>
      <c r="T7" s="31"/>
      <c r="U7" s="32"/>
      <c r="V7" s="33"/>
    </row>
    <row r="8">
      <c r="A8" s="27" t="s">
        <v>0</v>
      </c>
      <c r="B8" s="30">
        <f>X50*W21</f>
        <v>56</v>
      </c>
      <c r="C8" s="27" t="s">
        <v>43</v>
      </c>
      <c r="D8" s="29"/>
      <c r="F8" s="34" t="s">
        <v>44</v>
      </c>
      <c r="G8" s="35"/>
      <c r="I8" s="29"/>
      <c r="K8" s="12" t="s">
        <v>45</v>
      </c>
    </row>
    <row r="9">
      <c r="A9" s="30"/>
      <c r="B9" s="30"/>
      <c r="C9" s="27" t="s">
        <v>46</v>
      </c>
      <c r="D9" s="36">
        <v>17.0</v>
      </c>
      <c r="F9" s="27" t="s">
        <v>47</v>
      </c>
      <c r="G9" s="29">
        <f>N25</f>
        <v>200</v>
      </c>
      <c r="H9" s="13" t="s">
        <v>48</v>
      </c>
      <c r="I9" s="37">
        <f>X50*W21</f>
        <v>56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27">
        <f>G29</f>
        <v>25</v>
      </c>
      <c r="C10" s="30"/>
      <c r="D10" s="29"/>
      <c r="F10" s="27" t="s">
        <v>56</v>
      </c>
      <c r="G10" s="36">
        <v>6.0</v>
      </c>
      <c r="I10" s="29"/>
      <c r="K10" s="38" t="s">
        <v>57</v>
      </c>
      <c r="L10" s="7">
        <v>6.0</v>
      </c>
      <c r="M10" s="7">
        <v>0.0</v>
      </c>
      <c r="N10" s="7">
        <v>10.0</v>
      </c>
      <c r="O10" s="7">
        <v>0.8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29"/>
      <c r="I11" s="29"/>
      <c r="S11" s="39" t="s">
        <v>60</v>
      </c>
      <c r="T11" s="39" t="s">
        <v>61</v>
      </c>
    </row>
    <row r="12">
      <c r="A12" s="40" t="s">
        <v>62</v>
      </c>
      <c r="B12" s="41">
        <f>SUM(B4:B11)</f>
        <v>881</v>
      </c>
      <c r="C12" s="40" t="s">
        <v>62</v>
      </c>
      <c r="D12" s="42">
        <f>SUM(D4:D11)</f>
        <v>881.4</v>
      </c>
      <c r="F12" s="27" t="s">
        <v>63</v>
      </c>
      <c r="G12" s="29">
        <f>L10*N10*12</f>
        <v>720</v>
      </c>
      <c r="H12" s="13" t="s">
        <v>64</v>
      </c>
      <c r="I12" s="29"/>
      <c r="S12" s="13" t="s">
        <v>65</v>
      </c>
      <c r="T12" s="13">
        <v>200.0</v>
      </c>
    </row>
    <row r="13">
      <c r="F13" s="27" t="s">
        <v>66</v>
      </c>
      <c r="G13" s="36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36">
        <v>17.0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29"/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29"/>
      <c r="H17" s="13" t="s">
        <v>81</v>
      </c>
      <c r="I17" s="52">
        <f>136</f>
        <v>136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1808.2</v>
      </c>
      <c r="H19" s="54" t="s">
        <v>62</v>
      </c>
      <c r="I19" s="42">
        <f>SUM(I4:I17)</f>
        <v>1808</v>
      </c>
    </row>
    <row r="20">
      <c r="K20" s="55" t="s">
        <v>84</v>
      </c>
      <c r="L20" s="56"/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K21" s="39" t="s">
        <v>89</v>
      </c>
      <c r="L21" s="39" t="s">
        <v>90</v>
      </c>
      <c r="M21" s="39" t="s">
        <v>91</v>
      </c>
      <c r="N21" s="39" t="s">
        <v>92</v>
      </c>
      <c r="O21" s="39" t="s">
        <v>93</v>
      </c>
      <c r="P21" s="39" t="s">
        <v>94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K25" s="47" t="s">
        <v>100</v>
      </c>
      <c r="L25" s="7">
        <v>0.0</v>
      </c>
      <c r="M25" s="47" t="s">
        <v>101</v>
      </c>
      <c r="N25" s="7">
        <v>200.0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65">
        <v>0.0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F27" s="39" t="s">
        <v>108</v>
      </c>
      <c r="G27" s="65">
        <v>8.0</v>
      </c>
      <c r="H27" s="39" t="s">
        <v>109</v>
      </c>
      <c r="S27" s="64" t="s">
        <v>110</v>
      </c>
      <c r="T27" s="7">
        <v>10.0</v>
      </c>
    </row>
    <row r="28">
      <c r="F28" s="39" t="s">
        <v>111</v>
      </c>
      <c r="G28" s="65">
        <v>-200.0</v>
      </c>
      <c r="H28" s="39" t="s">
        <v>112</v>
      </c>
      <c r="I28" s="13" t="s">
        <v>113</v>
      </c>
      <c r="K28" s="12" t="s">
        <v>114</v>
      </c>
      <c r="S28" s="64" t="s">
        <v>115</v>
      </c>
      <c r="T28" s="7">
        <v>5.0</v>
      </c>
    </row>
    <row r="29">
      <c r="F29" s="39" t="s">
        <v>116</v>
      </c>
      <c r="G29" s="65">
        <v>25.0</v>
      </c>
      <c r="H29" s="4"/>
      <c r="K29" s="69" t="s">
        <v>117</v>
      </c>
      <c r="L29" s="7">
        <v>1000.0</v>
      </c>
    </row>
    <row r="30">
      <c r="F30" s="39" t="s">
        <v>118</v>
      </c>
      <c r="G30" s="65">
        <v>88.0</v>
      </c>
      <c r="H30" s="39" t="s">
        <v>119</v>
      </c>
      <c r="K30" s="69" t="s">
        <v>120</v>
      </c>
      <c r="L30" s="7">
        <v>-100.0</v>
      </c>
    </row>
    <row r="31" ht="19.5" customHeight="1">
      <c r="F31" s="39" t="s">
        <v>121</v>
      </c>
      <c r="G31" s="65">
        <v>8.0</v>
      </c>
      <c r="H31" s="39" t="s">
        <v>122</v>
      </c>
      <c r="I31" s="13" t="s">
        <v>113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S32" s="70" t="s">
        <v>126</v>
      </c>
      <c r="T32" s="7">
        <v>1000.0</v>
      </c>
      <c r="U32" s="7">
        <v>30.0</v>
      </c>
      <c r="V32" s="7">
        <v>300.0</v>
      </c>
    </row>
    <row r="33"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16.0</v>
      </c>
      <c r="M44" s="7">
        <v>16.0</v>
      </c>
      <c r="N44" s="7">
        <v>100.0</v>
      </c>
      <c r="O44" s="7">
        <v>100.0</v>
      </c>
      <c r="P44" s="7">
        <v>50.0</v>
      </c>
      <c r="Q44" s="7">
        <v>1.9</v>
      </c>
      <c r="R44" s="7">
        <v>1.9</v>
      </c>
      <c r="S44" s="7">
        <v>101.0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156</v>
      </c>
    </row>
    <row r="50">
      <c r="K50" s="22" t="s">
        <v>157</v>
      </c>
      <c r="L50" s="7">
        <v>101.0</v>
      </c>
      <c r="M50" s="7">
        <v>16.0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115.0</v>
      </c>
      <c r="W50" s="7">
        <v>101.0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</row>
    <row r="61">
      <c r="K61" s="1"/>
      <c r="L61" s="49" t="s">
        <v>167</v>
      </c>
      <c r="M61" s="1"/>
    </row>
    <row r="62">
      <c r="K62" s="1"/>
      <c r="L62" s="7" t="s">
        <v>168</v>
      </c>
      <c r="M62" s="78" t="s">
        <v>169</v>
      </c>
    </row>
    <row r="63" ht="21.0" customHeight="1">
      <c r="K63" s="78" t="s">
        <v>0</v>
      </c>
      <c r="L63" s="49" t="s">
        <v>170</v>
      </c>
      <c r="M63" s="78" t="s">
        <v>171</v>
      </c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1000.0</v>
      </c>
      <c r="M66" s="7">
        <v>1616.0</v>
      </c>
      <c r="N66" s="7">
        <v>1616.0</v>
      </c>
      <c r="O66" s="7">
        <v>616.0</v>
      </c>
      <c r="P66" s="79">
        <v>0.62</v>
      </c>
    </row>
    <row r="67">
      <c r="K67" s="47" t="s">
        <v>6</v>
      </c>
      <c r="L67" s="7">
        <v>-100.0</v>
      </c>
      <c r="M67" s="7">
        <v>-136.0</v>
      </c>
      <c r="N67" s="7">
        <v>136.0</v>
      </c>
      <c r="O67" s="7">
        <v>-36.0</v>
      </c>
      <c r="P67" s="79">
        <v>0.74</v>
      </c>
    </row>
    <row r="70">
      <c r="K70" s="12" t="s">
        <v>179</v>
      </c>
      <c r="L70" s="13" t="s">
        <v>180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 t="s">
        <v>8</v>
      </c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80">
        <f>L10*O10*Q14*0.9</f>
        <v>145.8</v>
      </c>
      <c r="H3" s="12" t="s">
        <v>28</v>
      </c>
      <c r="I3" s="29"/>
      <c r="K3" s="22" t="s">
        <v>0</v>
      </c>
      <c r="L3" s="7">
        <v>146.0</v>
      </c>
      <c r="M3" s="7">
        <v>18.0</v>
      </c>
      <c r="N3" s="7">
        <v>400.0</v>
      </c>
      <c r="O3" s="7">
        <v>200.0</v>
      </c>
      <c r="P3" s="7">
        <v>14.0</v>
      </c>
      <c r="S3" s="23" t="s">
        <v>29</v>
      </c>
      <c r="T3" s="1"/>
      <c r="U3" s="1"/>
      <c r="V3" s="1"/>
    </row>
    <row r="4">
      <c r="A4" s="27" t="s">
        <v>30</v>
      </c>
      <c r="B4" s="27">
        <f>800-G13</f>
        <v>600</v>
      </c>
      <c r="C4" s="27" t="s">
        <v>31</v>
      </c>
      <c r="D4" s="29">
        <f>T39</f>
        <v>1000</v>
      </c>
      <c r="F4" s="27" t="s">
        <v>32</v>
      </c>
      <c r="G4" s="81">
        <f>T21</f>
        <v>100</v>
      </c>
      <c r="H4" s="13" t="s">
        <v>22</v>
      </c>
      <c r="I4" s="29">
        <f>((L3+P3)*M3)+((L4+P4)*M4)+((L5+P5)*M5)</f>
        <v>2880</v>
      </c>
      <c r="K4" s="22" t="s">
        <v>23</v>
      </c>
      <c r="L4" s="1"/>
      <c r="M4" s="1"/>
      <c r="N4" s="1"/>
      <c r="O4" s="1"/>
      <c r="P4" s="1"/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f>R50</f>
        <v>-136</v>
      </c>
      <c r="F5" s="27" t="s">
        <v>35</v>
      </c>
      <c r="G5" s="82">
        <f>U21+T25</f>
        <v>300</v>
      </c>
      <c r="I5" s="29"/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83">
        <f>SUM(I3:I9)-G19</f>
        <v>-103.660355</v>
      </c>
      <c r="F6" s="27" t="s">
        <v>38</v>
      </c>
      <c r="G6" s="84">
        <f>O3</f>
        <v>200</v>
      </c>
      <c r="I6" s="29"/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84">
        <f>N3</f>
        <v>400</v>
      </c>
      <c r="I7" s="29"/>
      <c r="S7" s="23" t="s">
        <v>42</v>
      </c>
      <c r="T7" s="31"/>
      <c r="U7" s="32"/>
      <c r="V7" s="33"/>
    </row>
    <row r="8">
      <c r="A8" s="27" t="s">
        <v>0</v>
      </c>
      <c r="B8" s="27">
        <v>0.0</v>
      </c>
      <c r="C8" s="27" t="s">
        <v>43</v>
      </c>
      <c r="D8" s="29"/>
      <c r="F8" s="34" t="s">
        <v>44</v>
      </c>
      <c r="G8" s="35"/>
      <c r="I8" s="29"/>
      <c r="K8" s="12" t="s">
        <v>45</v>
      </c>
    </row>
    <row r="9">
      <c r="A9" s="30"/>
      <c r="B9" s="30"/>
      <c r="C9" s="27" t="s">
        <v>46</v>
      </c>
      <c r="D9" s="85">
        <f>G15</f>
        <v>61.86035503</v>
      </c>
      <c r="F9" s="27" t="s">
        <v>47</v>
      </c>
      <c r="G9" s="36">
        <f>N25</f>
        <v>800</v>
      </c>
      <c r="H9" s="13" t="s">
        <v>181</v>
      </c>
      <c r="I9" s="85">
        <v>-56.0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>
        <f>G29</f>
        <v>222</v>
      </c>
      <c r="C10" s="30"/>
      <c r="D10" s="29"/>
      <c r="F10" s="27" t="s">
        <v>56</v>
      </c>
      <c r="G10" s="85">
        <v>0.0</v>
      </c>
      <c r="I10" s="29"/>
      <c r="K10" s="38" t="s">
        <v>57</v>
      </c>
      <c r="L10" s="7">
        <v>6.0</v>
      </c>
      <c r="M10" s="7">
        <v>0.0</v>
      </c>
      <c r="N10" s="7">
        <v>10.0</v>
      </c>
      <c r="O10" s="7">
        <v>0.9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36">
        <v>0.0</v>
      </c>
      <c r="I11" s="29"/>
      <c r="L11" s="13"/>
      <c r="M11" s="13"/>
      <c r="N11" s="13"/>
      <c r="O11" s="13"/>
      <c r="S11" s="39" t="s">
        <v>60</v>
      </c>
      <c r="T11" s="39" t="s">
        <v>61</v>
      </c>
    </row>
    <row r="12">
      <c r="A12" s="40" t="s">
        <v>62</v>
      </c>
      <c r="B12" s="41">
        <f>SUM(B4:B11)</f>
        <v>822</v>
      </c>
      <c r="C12" s="40" t="s">
        <v>62</v>
      </c>
      <c r="D12" s="42">
        <f>SUM(D4:D11)</f>
        <v>822.2</v>
      </c>
      <c r="E12" s="12" t="s">
        <v>182</v>
      </c>
      <c r="F12" s="27" t="s">
        <v>63</v>
      </c>
      <c r="G12" s="82">
        <f>L10*N10*12</f>
        <v>720</v>
      </c>
      <c r="H12" s="87" t="s">
        <v>64</v>
      </c>
      <c r="I12" s="29"/>
      <c r="K12" s="13"/>
      <c r="S12" s="13" t="s">
        <v>65</v>
      </c>
      <c r="T12" s="13">
        <v>200.0</v>
      </c>
    </row>
    <row r="13">
      <c r="F13" s="27" t="s">
        <v>66</v>
      </c>
      <c r="G13" s="36">
        <v>200.0</v>
      </c>
      <c r="I13" s="29"/>
      <c r="K13" s="12" t="s">
        <v>67</v>
      </c>
      <c r="P13" s="88" t="s">
        <v>68</v>
      </c>
      <c r="Q13" s="7">
        <v>1000.0</v>
      </c>
    </row>
    <row r="14">
      <c r="F14" s="30"/>
      <c r="G14" s="29"/>
      <c r="I14" s="29"/>
      <c r="K14" s="89" t="s">
        <v>69</v>
      </c>
      <c r="L14" s="90"/>
      <c r="M14" s="89" t="s">
        <v>70</v>
      </c>
      <c r="N14" s="91" t="s">
        <v>2</v>
      </c>
      <c r="P14" s="43" t="s">
        <v>71</v>
      </c>
      <c r="Q14" s="7">
        <v>30.0</v>
      </c>
    </row>
    <row r="15">
      <c r="E15" s="13" t="s">
        <v>183</v>
      </c>
      <c r="F15" s="27" t="s">
        <v>72</v>
      </c>
      <c r="G15" s="85">
        <f>G30*0.2</f>
        <v>61.86035503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0.0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36"/>
      <c r="H17" s="13" t="s">
        <v>81</v>
      </c>
      <c r="I17" s="52">
        <v>104.0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2927.660355</v>
      </c>
      <c r="H19" s="54" t="s">
        <v>62</v>
      </c>
      <c r="I19" s="42">
        <f>SUM(I4:I17)</f>
        <v>2928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0.3396449704</v>
      </c>
      <c r="K21" s="7" t="s">
        <v>126</v>
      </c>
      <c r="L21" s="7">
        <v>1.0</v>
      </c>
      <c r="M21" s="7">
        <v>2.0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1000.0</v>
      </c>
      <c r="M25" s="47" t="s">
        <v>101</v>
      </c>
      <c r="N25" s="7">
        <v>800.0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65">
        <v>25.0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65">
        <v>8.0</v>
      </c>
      <c r="H27" s="39" t="s">
        <v>109</v>
      </c>
      <c r="S27" s="64" t="s">
        <v>110</v>
      </c>
      <c r="T27" s="7">
        <v>10.0</v>
      </c>
    </row>
    <row r="28">
      <c r="F28" s="39" t="s">
        <v>186</v>
      </c>
      <c r="G28" s="99">
        <v>792.0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190</v>
      </c>
      <c r="G29" s="65">
        <v>222.0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309.3017751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191</v>
      </c>
      <c r="G31" s="102">
        <f>G29-D9</f>
        <v>160.139645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285.0887574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396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0.7810650888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/>
      <c r="V58" s="7"/>
      <c r="W58" s="7"/>
      <c r="X58" s="7"/>
      <c r="Y58" s="7"/>
      <c r="Z58" s="7"/>
      <c r="AA58" s="7"/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/>
      <c r="V60" s="7"/>
      <c r="W60" s="7"/>
      <c r="X60" s="7"/>
      <c r="Y60" s="7"/>
      <c r="Z60" s="7"/>
      <c r="AA60" s="7"/>
    </row>
    <row r="61">
      <c r="K61" s="1"/>
      <c r="L61" s="49" t="s">
        <v>167</v>
      </c>
      <c r="M61" s="1"/>
      <c r="T61" s="22" t="s">
        <v>201</v>
      </c>
      <c r="U61" s="7"/>
      <c r="V61" s="7"/>
      <c r="W61" s="7"/>
      <c r="X61" s="7"/>
      <c r="Y61" s="7"/>
      <c r="Z61" s="7"/>
      <c r="AA61" s="7"/>
    </row>
    <row r="62">
      <c r="K62" s="1"/>
      <c r="L62" s="7" t="s">
        <v>168</v>
      </c>
      <c r="M62" s="78" t="s">
        <v>169</v>
      </c>
      <c r="T62" s="22" t="s">
        <v>202</v>
      </c>
      <c r="U62" s="7"/>
      <c r="V62" s="7"/>
      <c r="W62" s="7"/>
      <c r="X62" s="7"/>
      <c r="Y62" s="7"/>
      <c r="Z62" s="7"/>
      <c r="AA62" s="7"/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05">
        <f>L12*Q14*1</f>
        <v>252</v>
      </c>
      <c r="H3" s="12" t="s">
        <v>28</v>
      </c>
      <c r="I3" s="29"/>
      <c r="K3" s="22" t="s">
        <v>0</v>
      </c>
      <c r="L3" s="7">
        <v>122.0</v>
      </c>
      <c r="M3" s="7">
        <v>18.0</v>
      </c>
      <c r="N3" s="7">
        <v>400.0</v>
      </c>
      <c r="O3" s="7">
        <v>150.0</v>
      </c>
      <c r="P3" s="7">
        <v>0.0</v>
      </c>
      <c r="S3" s="23" t="s">
        <v>29</v>
      </c>
      <c r="T3" s="1"/>
      <c r="U3" s="1"/>
      <c r="V3" s="1"/>
    </row>
    <row r="4">
      <c r="A4" s="27" t="s">
        <v>30</v>
      </c>
      <c r="B4" s="27">
        <v>400.0</v>
      </c>
      <c r="C4" s="27" t="s">
        <v>31</v>
      </c>
      <c r="D4" s="29">
        <f>T39</f>
        <v>1000</v>
      </c>
      <c r="F4" s="27" t="s">
        <v>32</v>
      </c>
      <c r="G4" s="80">
        <v>300.0</v>
      </c>
      <c r="H4" s="13" t="s">
        <v>22</v>
      </c>
      <c r="I4" s="29">
        <f>U58*V58</f>
        <v>2196</v>
      </c>
      <c r="K4" s="22" t="s">
        <v>23</v>
      </c>
      <c r="L4" s="7">
        <v>130.0</v>
      </c>
      <c r="M4" s="7">
        <v>16.0</v>
      </c>
      <c r="N4" s="7">
        <v>150.0</v>
      </c>
      <c r="O4" s="7">
        <v>200.0</v>
      </c>
      <c r="P4" s="7">
        <v>0.0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f>(-136)+(-103)</f>
        <v>-239</v>
      </c>
      <c r="F5" s="27" t="s">
        <v>35</v>
      </c>
      <c r="G5" s="84">
        <v>400.0</v>
      </c>
      <c r="H5" s="13" t="s">
        <v>4</v>
      </c>
      <c r="I5" s="29">
        <f>W58*X58</f>
        <v>1152</v>
      </c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v>-52.0</v>
      </c>
      <c r="F6" s="27" t="s">
        <v>38</v>
      </c>
      <c r="G6" s="84">
        <f>SUM(O3:O5)</f>
        <v>350</v>
      </c>
      <c r="H6" s="13" t="s">
        <v>5</v>
      </c>
      <c r="I6" s="29">
        <f>((L5+P5)*M5)</f>
        <v>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84">
        <f>SUM(N3:N5)</f>
        <v>550</v>
      </c>
      <c r="I7" s="29"/>
      <c r="S7" s="23" t="s">
        <v>42</v>
      </c>
      <c r="T7" s="31"/>
      <c r="U7" s="32"/>
      <c r="V7" s="33"/>
    </row>
    <row r="8">
      <c r="A8" s="27" t="s">
        <v>203</v>
      </c>
      <c r="B8" s="106">
        <f>SUM(I9:I11)</f>
        <v>290</v>
      </c>
      <c r="C8" s="27" t="s">
        <v>43</v>
      </c>
      <c r="D8" s="36"/>
      <c r="F8" s="34" t="s">
        <v>44</v>
      </c>
      <c r="G8" s="35"/>
      <c r="I8" s="29"/>
      <c r="K8" s="12" t="s">
        <v>45</v>
      </c>
    </row>
    <row r="9">
      <c r="A9" s="30"/>
      <c r="B9" s="30"/>
      <c r="C9" s="27" t="s">
        <v>46</v>
      </c>
      <c r="D9" s="85">
        <f>G15</f>
        <v>29</v>
      </c>
      <c r="F9" s="27" t="s">
        <v>47</v>
      </c>
      <c r="G9" s="36">
        <f>N25</f>
        <v>500</v>
      </c>
      <c r="H9" s="13" t="s">
        <v>181</v>
      </c>
      <c r="I9" s="85">
        <v>0.0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>
        <f>G29</f>
        <v>48</v>
      </c>
      <c r="C10" s="30"/>
      <c r="D10" s="29"/>
      <c r="F10" s="27" t="s">
        <v>56</v>
      </c>
      <c r="G10" s="85">
        <f>I10/10</f>
        <v>29</v>
      </c>
      <c r="H10" s="13" t="s">
        <v>204</v>
      </c>
      <c r="I10" s="36">
        <f>X51*W22</f>
        <v>290</v>
      </c>
      <c r="K10" s="38" t="s">
        <v>57</v>
      </c>
      <c r="L10" s="7">
        <v>6.0</v>
      </c>
      <c r="M10" s="7">
        <v>0.0</v>
      </c>
      <c r="N10" s="7">
        <v>10.0</v>
      </c>
      <c r="O10" s="7">
        <v>1.0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36">
        <v>0.0</v>
      </c>
      <c r="I11" s="29"/>
      <c r="L11" s="7">
        <v>3.0</v>
      </c>
      <c r="M11" s="7">
        <v>0.0</v>
      </c>
      <c r="N11" s="7">
        <v>10.0</v>
      </c>
      <c r="O11" s="7">
        <v>0.8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738</v>
      </c>
      <c r="C12" s="40" t="s">
        <v>62</v>
      </c>
      <c r="D12" s="42">
        <f>SUM(D4:D11)</f>
        <v>738</v>
      </c>
      <c r="E12" s="12" t="s">
        <v>182</v>
      </c>
      <c r="F12" s="27" t="s">
        <v>63</v>
      </c>
      <c r="G12" s="82">
        <f>(L10+L11)*N11*12</f>
        <v>1080</v>
      </c>
      <c r="H12" s="87" t="s">
        <v>64</v>
      </c>
      <c r="I12" s="29"/>
      <c r="K12" s="38" t="s">
        <v>205</v>
      </c>
      <c r="L12" s="1">
        <f>(L10*O10)+(L11*O11)</f>
        <v>8.4</v>
      </c>
      <c r="S12" s="13" t="s">
        <v>65</v>
      </c>
      <c r="T12" s="13">
        <v>200.0</v>
      </c>
    </row>
    <row r="13">
      <c r="F13" s="27" t="s">
        <v>66</v>
      </c>
      <c r="G13" s="107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85">
        <v>29.0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0.0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36"/>
      <c r="H17" s="13" t="s">
        <v>81</v>
      </c>
      <c r="I17" s="52">
        <v>52.0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3690</v>
      </c>
      <c r="H19" s="54" t="s">
        <v>62</v>
      </c>
      <c r="I19" s="42">
        <f>SUM(I4:I17)</f>
        <v>3690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</v>
      </c>
      <c r="K21" s="7" t="s">
        <v>126</v>
      </c>
      <c r="L21" s="7">
        <v>1.0</v>
      </c>
      <c r="M21" s="7">
        <v>2.0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1000.0</v>
      </c>
      <c r="M25" s="47" t="s">
        <v>101</v>
      </c>
      <c r="N25" s="7">
        <v>500.0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65">
        <v>222.0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65" t="s">
        <v>206</v>
      </c>
      <c r="H27" s="39" t="s">
        <v>109</v>
      </c>
      <c r="S27" s="64" t="s">
        <v>110</v>
      </c>
      <c r="T27" s="7">
        <v>10.0</v>
      </c>
    </row>
    <row r="28">
      <c r="F28" s="39" t="s">
        <v>207</v>
      </c>
      <c r="G28" s="108">
        <v>339.0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208</v>
      </c>
      <c r="G29" s="109">
        <v>48.0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148.4767442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102">
        <f>G29-D9</f>
        <v>19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319.7286822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169.5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0.8759689922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122.0</v>
      </c>
      <c r="W50" s="7">
        <v>122.0</v>
      </c>
      <c r="X50" s="7"/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130.0</v>
      </c>
      <c r="W51" s="7">
        <v>72.0</v>
      </c>
      <c r="X51" s="7">
        <v>58.0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/>
      <c r="V60" s="7"/>
      <c r="W60" s="7"/>
      <c r="X60" s="7"/>
      <c r="Y60" s="7"/>
      <c r="Z60" s="7"/>
      <c r="AA60" s="7"/>
    </row>
    <row r="61">
      <c r="K61" s="1"/>
      <c r="L61" s="49" t="s">
        <v>167</v>
      </c>
      <c r="M61" s="1"/>
      <c r="T61" s="22" t="s">
        <v>201</v>
      </c>
      <c r="U61" s="7"/>
      <c r="V61" s="7"/>
      <c r="W61" s="7"/>
      <c r="X61" s="7"/>
      <c r="Y61" s="7"/>
      <c r="Z61" s="7"/>
      <c r="AA61" s="7"/>
    </row>
    <row r="62">
      <c r="K62" s="1"/>
      <c r="L62" s="7" t="s">
        <v>168</v>
      </c>
      <c r="M62" s="78" t="s">
        <v>169</v>
      </c>
      <c r="T62" s="22" t="s">
        <v>202</v>
      </c>
      <c r="U62" s="7"/>
      <c r="V62" s="7"/>
      <c r="W62" s="7"/>
      <c r="X62" s="7"/>
      <c r="Y62" s="7"/>
      <c r="Z62" s="7"/>
      <c r="AA62" s="7"/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0">
        <f>O7*Q14*1</f>
        <v>285</v>
      </c>
      <c r="H3" s="12" t="s">
        <v>28</v>
      </c>
      <c r="I3" s="29"/>
      <c r="K3" s="22" t="s">
        <v>0</v>
      </c>
      <c r="L3" s="7">
        <v>75.0</v>
      </c>
      <c r="M3" s="7">
        <v>19.0</v>
      </c>
      <c r="N3" s="7">
        <v>250.0</v>
      </c>
      <c r="O3" s="7">
        <v>150.0</v>
      </c>
      <c r="P3" s="7">
        <v>0.0</v>
      </c>
      <c r="S3" s="23" t="s">
        <v>29</v>
      </c>
      <c r="T3" s="1"/>
      <c r="U3" s="1"/>
      <c r="V3" s="1"/>
    </row>
    <row r="4">
      <c r="A4" s="27" t="s">
        <v>30</v>
      </c>
      <c r="B4" s="27">
        <v>200.0</v>
      </c>
      <c r="C4" s="27" t="s">
        <v>31</v>
      </c>
      <c r="D4" s="29">
        <f>T39</f>
        <v>1000</v>
      </c>
      <c r="F4" s="27" t="s">
        <v>32</v>
      </c>
      <c r="G4" s="80">
        <v>300.0</v>
      </c>
      <c r="H4" s="13" t="s">
        <v>22</v>
      </c>
      <c r="I4" s="29">
        <f t="shared" ref="I4:I6" si="1">((L3+P3)*M3)</f>
        <v>1425</v>
      </c>
      <c r="K4" s="22" t="s">
        <v>23</v>
      </c>
      <c r="L4" s="7">
        <v>98.0</v>
      </c>
      <c r="M4" s="7">
        <v>16.0</v>
      </c>
      <c r="N4" s="7">
        <v>300.0</v>
      </c>
      <c r="O4" s="7">
        <v>200.0</v>
      </c>
      <c r="P4" s="7">
        <v>0.0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-291.0</v>
      </c>
      <c r="F5" s="27" t="s">
        <v>35</v>
      </c>
      <c r="G5" s="84">
        <v>400.0</v>
      </c>
      <c r="H5" s="13" t="s">
        <v>4</v>
      </c>
      <c r="I5" s="29">
        <f t="shared" si="1"/>
        <v>1568</v>
      </c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v>-822.0</v>
      </c>
      <c r="F6" s="27" t="s">
        <v>38</v>
      </c>
      <c r="G6" s="84">
        <f>SUM(O3:O5)</f>
        <v>350</v>
      </c>
      <c r="H6" s="13" t="s">
        <v>5</v>
      </c>
      <c r="I6" s="29">
        <f t="shared" si="1"/>
        <v>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84">
        <f>SUM(N3:N5)</f>
        <v>550</v>
      </c>
      <c r="I7" s="29"/>
      <c r="N7" s="38" t="s">
        <v>205</v>
      </c>
      <c r="O7" s="1">
        <f>(L10*O10)+(L11*O11)+(L12*O12)</f>
        <v>9.5</v>
      </c>
      <c r="S7" s="23" t="s">
        <v>42</v>
      </c>
      <c r="T7" s="31"/>
      <c r="U7" s="32"/>
      <c r="V7" s="33"/>
    </row>
    <row r="8">
      <c r="A8" s="27" t="s">
        <v>0</v>
      </c>
      <c r="B8" s="106">
        <f>I9</f>
        <v>680</v>
      </c>
      <c r="C8" s="27" t="s">
        <v>43</v>
      </c>
      <c r="D8" s="36">
        <v>0.0</v>
      </c>
      <c r="F8" s="34" t="s">
        <v>44</v>
      </c>
      <c r="G8" s="35"/>
      <c r="I8" s="29"/>
      <c r="K8" s="12" t="s">
        <v>45</v>
      </c>
    </row>
    <row r="9">
      <c r="A9" s="27"/>
      <c r="B9" s="27"/>
      <c r="C9" s="27" t="s">
        <v>46</v>
      </c>
      <c r="D9" s="85">
        <f>G15</f>
        <v>152.2</v>
      </c>
      <c r="F9" s="27" t="s">
        <v>47</v>
      </c>
      <c r="G9" s="36">
        <f>N25</f>
        <v>700</v>
      </c>
      <c r="H9" s="13" t="s">
        <v>181</v>
      </c>
      <c r="I9" s="85">
        <f>X50*W21</f>
        <v>680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/>
      <c r="C10" s="27" t="s">
        <v>210</v>
      </c>
      <c r="D10" s="29">
        <f>G29</f>
        <v>841</v>
      </c>
      <c r="F10" s="27" t="s">
        <v>56</v>
      </c>
      <c r="G10" s="85">
        <f>I9/10</f>
        <v>68</v>
      </c>
      <c r="H10" s="13" t="s">
        <v>204</v>
      </c>
      <c r="I10" s="36">
        <v>-290.0</v>
      </c>
      <c r="K10" s="38" t="s">
        <v>57</v>
      </c>
      <c r="L10" s="7">
        <v>6.0</v>
      </c>
      <c r="M10" s="7">
        <v>0.0</v>
      </c>
      <c r="N10" s="7">
        <v>10.0</v>
      </c>
      <c r="O10" s="7">
        <v>1.0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36">
        <v>0.0</v>
      </c>
      <c r="I11" s="29"/>
      <c r="L11" s="7">
        <v>3.0</v>
      </c>
      <c r="M11" s="7">
        <v>0.0</v>
      </c>
      <c r="N11" s="7">
        <v>10.0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880</v>
      </c>
      <c r="C12" s="40" t="s">
        <v>62</v>
      </c>
      <c r="D12" s="42">
        <f>SUM(D4:D11)</f>
        <v>880.2</v>
      </c>
      <c r="E12" s="12" t="s">
        <v>182</v>
      </c>
      <c r="F12" s="27" t="s">
        <v>63</v>
      </c>
      <c r="G12" s="82">
        <f>(L10+L11+L12)*N11*12</f>
        <v>1200</v>
      </c>
      <c r="H12" s="87" t="s">
        <v>64</v>
      </c>
      <c r="I12" s="29"/>
      <c r="K12" s="13"/>
      <c r="L12" s="7">
        <v>1.0</v>
      </c>
      <c r="M12" s="1"/>
      <c r="N12" s="7">
        <v>10.0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07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85">
        <f>G30*0.2</f>
        <v>152.2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/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36"/>
      <c r="H17" s="13" t="s">
        <v>81</v>
      </c>
      <c r="I17" s="52">
        <v>822.0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4205.2</v>
      </c>
      <c r="H19" s="54" t="s">
        <v>62</v>
      </c>
      <c r="I19" s="42">
        <f>SUM(I4:I17)</f>
        <v>4205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-0.2</v>
      </c>
      <c r="K21" s="7" t="s">
        <v>126</v>
      </c>
      <c r="L21" s="7">
        <v>1.0</v>
      </c>
      <c r="M21" s="7">
        <v>2.0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1500.0</v>
      </c>
      <c r="M25" s="47" t="s">
        <v>101</v>
      </c>
      <c r="N25" s="7">
        <v>700.0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65">
        <v>48.0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65">
        <v>19.0</v>
      </c>
      <c r="H27" s="39" t="s">
        <v>109</v>
      </c>
      <c r="S27" s="64" t="s">
        <v>110</v>
      </c>
      <c r="T27" s="7">
        <v>10.0</v>
      </c>
    </row>
    <row r="28">
      <c r="F28" s="39" t="s">
        <v>211</v>
      </c>
      <c r="G28" s="108">
        <v>681.0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212</v>
      </c>
      <c r="G29" s="111">
        <v>841.0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v>761.0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65">
        <v>-993.0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112">
        <f>G34*365</f>
        <v>163.3147175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13">
        <f>(G28+0)/2</f>
        <v>340.5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14">
        <f>G28/(G28+G29)</f>
        <v>0.4474375821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245.0</v>
      </c>
      <c r="W50" s="7">
        <v>75.0</v>
      </c>
      <c r="X50" s="7">
        <v>170.0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58.0</v>
      </c>
      <c r="V51" s="7">
        <v>40.0</v>
      </c>
      <c r="W51" s="7">
        <v>98.0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>
        <v>75.0</v>
      </c>
      <c r="V59" s="7">
        <v>19.0</v>
      </c>
      <c r="W59" s="7">
        <v>98.0</v>
      </c>
      <c r="X59" s="7">
        <v>16.0</v>
      </c>
      <c r="Y59" s="7"/>
      <c r="Z59" s="7"/>
      <c r="AA59" s="7">
        <v>-822.0</v>
      </c>
    </row>
    <row r="60">
      <c r="T60" s="22" t="s">
        <v>200</v>
      </c>
      <c r="U60" s="7"/>
      <c r="V60" s="7"/>
      <c r="W60" s="7"/>
      <c r="X60" s="7"/>
      <c r="Y60" s="7"/>
      <c r="Z60" s="7"/>
      <c r="AA60" s="7"/>
    </row>
    <row r="61">
      <c r="K61" s="1"/>
      <c r="L61" s="49" t="s">
        <v>167</v>
      </c>
      <c r="M61" s="1"/>
      <c r="T61" s="22" t="s">
        <v>201</v>
      </c>
      <c r="U61" s="7"/>
      <c r="V61" s="7"/>
      <c r="W61" s="7"/>
      <c r="X61" s="7"/>
      <c r="Y61" s="7"/>
      <c r="Z61" s="7"/>
      <c r="AA61" s="7"/>
    </row>
    <row r="62">
      <c r="K62" s="1"/>
      <c r="L62" s="7" t="s">
        <v>168</v>
      </c>
      <c r="M62" s="78" t="s">
        <v>169</v>
      </c>
      <c r="T62" s="22" t="s">
        <v>202</v>
      </c>
      <c r="U62" s="7"/>
      <c r="V62" s="7"/>
      <c r="W62" s="7"/>
      <c r="X62" s="7"/>
      <c r="Y62" s="7"/>
      <c r="Z62" s="7"/>
      <c r="AA62" s="7"/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5">
        <v>225.0</v>
      </c>
      <c r="H3" s="12" t="s">
        <v>28</v>
      </c>
      <c r="I3" s="29"/>
      <c r="K3" s="22" t="s">
        <v>0</v>
      </c>
      <c r="L3" s="7">
        <v>110.0</v>
      </c>
      <c r="M3" s="7">
        <v>18.0</v>
      </c>
      <c r="N3" s="7">
        <v>350.0</v>
      </c>
      <c r="O3" s="7">
        <v>150.0</v>
      </c>
      <c r="P3" s="7"/>
      <c r="S3" s="23" t="s">
        <v>29</v>
      </c>
      <c r="T3" s="1"/>
      <c r="U3" s="1"/>
      <c r="V3" s="1"/>
    </row>
    <row r="4">
      <c r="A4" s="27" t="s">
        <v>30</v>
      </c>
      <c r="B4" s="27">
        <v>800.0</v>
      </c>
      <c r="C4" s="27" t="s">
        <v>31</v>
      </c>
      <c r="D4" s="29">
        <f>T39</f>
        <v>1000</v>
      </c>
      <c r="F4" s="27" t="s">
        <v>32</v>
      </c>
      <c r="G4" s="80">
        <v>300.0</v>
      </c>
      <c r="H4" s="13" t="s">
        <v>22</v>
      </c>
      <c r="I4" s="29">
        <f t="shared" ref="I4:I6" si="1">((L3+P3)*M3)</f>
        <v>1980</v>
      </c>
      <c r="K4" s="22" t="s">
        <v>23</v>
      </c>
      <c r="L4" s="7">
        <v>136.0</v>
      </c>
      <c r="M4" s="7">
        <v>16.0</v>
      </c>
      <c r="N4" s="7">
        <v>250.0</v>
      </c>
      <c r="O4" s="7">
        <v>200.0</v>
      </c>
      <c r="P4" s="7">
        <v>0.0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-1113.0</v>
      </c>
      <c r="F5" s="27" t="s">
        <v>35</v>
      </c>
      <c r="G5" s="84">
        <v>400.0</v>
      </c>
      <c r="H5" s="13" t="s">
        <v>4</v>
      </c>
      <c r="I5" s="29">
        <f t="shared" si="1"/>
        <v>2176</v>
      </c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f>G17</f>
        <v>887</v>
      </c>
      <c r="F6" s="27" t="s">
        <v>38</v>
      </c>
      <c r="G6" s="84">
        <f>SUM(O3:O5)</f>
        <v>350</v>
      </c>
      <c r="H6" s="13" t="s">
        <v>5</v>
      </c>
      <c r="I6" s="29">
        <f t="shared" si="1"/>
        <v>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84">
        <f>SUM(N3:N5)</f>
        <v>600</v>
      </c>
      <c r="I7" s="29"/>
      <c r="N7" s="38" t="s">
        <v>205</v>
      </c>
      <c r="O7" s="1">
        <f>(L10*O10)+(L11*O11)+(L12*O12)</f>
        <v>9.9</v>
      </c>
      <c r="S7" s="23" t="s">
        <v>42</v>
      </c>
      <c r="T7" s="31"/>
      <c r="U7" s="32"/>
      <c r="V7" s="33"/>
    </row>
    <row r="8">
      <c r="A8" s="27" t="s">
        <v>0</v>
      </c>
      <c r="B8" s="27">
        <v>0.0</v>
      </c>
      <c r="C8" s="27" t="s">
        <v>43</v>
      </c>
      <c r="D8" s="36"/>
      <c r="F8" s="34" t="s">
        <v>44</v>
      </c>
      <c r="G8" s="35"/>
      <c r="I8" s="29"/>
      <c r="K8" s="12" t="s">
        <v>45</v>
      </c>
    </row>
    <row r="9">
      <c r="A9" s="27"/>
      <c r="B9" s="27"/>
      <c r="C9" s="27" t="s">
        <v>46</v>
      </c>
      <c r="D9" s="85">
        <f>G15</f>
        <v>227</v>
      </c>
      <c r="F9" s="27" t="s">
        <v>47</v>
      </c>
      <c r="G9" s="36">
        <f>N25</f>
        <v>0</v>
      </c>
      <c r="H9" s="13" t="s">
        <v>181</v>
      </c>
      <c r="I9" s="85">
        <v>-340.0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/>
      <c r="C10" s="30"/>
      <c r="D10" s="29"/>
      <c r="F10" s="27" t="s">
        <v>56</v>
      </c>
      <c r="G10" s="85">
        <v>66.0</v>
      </c>
      <c r="H10" s="13" t="s">
        <v>204</v>
      </c>
      <c r="I10" s="36">
        <v>320.0</v>
      </c>
      <c r="K10" s="38" t="s">
        <v>57</v>
      </c>
      <c r="L10" s="7">
        <v>9.0</v>
      </c>
      <c r="M10" s="7">
        <v>0.0</v>
      </c>
      <c r="N10" s="7">
        <v>10.0</v>
      </c>
      <c r="O10" s="7">
        <v>1.0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36">
        <v>0.0</v>
      </c>
      <c r="I11" s="29"/>
      <c r="L11" s="7">
        <v>1.0</v>
      </c>
      <c r="M11" s="7">
        <v>0.0</v>
      </c>
      <c r="N11" s="7">
        <v>10.0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800</v>
      </c>
      <c r="C12" s="40" t="s">
        <v>62</v>
      </c>
      <c r="D12" s="42">
        <f>SUM(D4:D11)</f>
        <v>1001</v>
      </c>
      <c r="E12" s="12" t="s">
        <v>182</v>
      </c>
      <c r="F12" s="27" t="s">
        <v>63</v>
      </c>
      <c r="G12" s="82">
        <f>(L10+L11+L12)*N11*12</f>
        <v>1200</v>
      </c>
      <c r="H12" s="116" t="s">
        <v>213</v>
      </c>
      <c r="I12" s="36">
        <v>400.0</v>
      </c>
      <c r="K12" s="13"/>
      <c r="L12" s="7">
        <v>0.0</v>
      </c>
      <c r="M12" s="1"/>
      <c r="N12" s="7">
        <v>10.0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07">
        <v>200.0</v>
      </c>
      <c r="H13" s="13" t="s">
        <v>214</v>
      </c>
      <c r="I13" s="36">
        <v>150.0</v>
      </c>
      <c r="K13" s="12" t="s">
        <v>67</v>
      </c>
      <c r="P13" s="43" t="s">
        <v>68</v>
      </c>
      <c r="Q13" s="7">
        <v>1000.0</v>
      </c>
    </row>
    <row r="14">
      <c r="F14" s="27" t="s">
        <v>215</v>
      </c>
      <c r="G14" s="36">
        <v>200.0</v>
      </c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85">
        <f>G30*0.2</f>
        <v>227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31.0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F17" s="27" t="s">
        <v>80</v>
      </c>
      <c r="G17" s="36">
        <v>887.0</v>
      </c>
      <c r="H17" s="13" t="s">
        <v>81</v>
      </c>
      <c r="I17" s="52"/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G3+G4+G5+G6+G7+G8+G9+G10+G11+G12+G13+G15+G16+G17+G14</f>
        <v>4686</v>
      </c>
      <c r="H19" s="54" t="s">
        <v>62</v>
      </c>
      <c r="I19" s="42">
        <f>SUM(I4:I17)</f>
        <v>4686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1500.0</v>
      </c>
      <c r="M25" s="47" t="s">
        <v>101</v>
      </c>
      <c r="N25" s="7">
        <v>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17">
        <v>841.0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65">
        <v>993.0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08">
        <v>1843.0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11">
        <v>428.0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v>1135.0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65">
        <v>-686.0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/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/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/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/>
      <c r="V61" s="7"/>
      <c r="W61" s="7"/>
      <c r="X61" s="7"/>
      <c r="Y61" s="7"/>
      <c r="Z61" s="7"/>
      <c r="AA61" s="7"/>
    </row>
    <row r="62">
      <c r="K62" s="1"/>
      <c r="L62" s="7" t="s">
        <v>168</v>
      </c>
      <c r="M62" s="78" t="s">
        <v>169</v>
      </c>
      <c r="T62" s="22" t="s">
        <v>202</v>
      </c>
      <c r="U62" s="7"/>
      <c r="V62" s="7"/>
      <c r="W62" s="7"/>
      <c r="X62" s="7"/>
      <c r="Y62" s="7"/>
      <c r="Z62" s="7"/>
      <c r="AA62" s="7"/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8">
        <f>O7*Q14*0.9</f>
        <v>270</v>
      </c>
      <c r="H3" s="12" t="s">
        <v>28</v>
      </c>
      <c r="I3" s="29"/>
      <c r="K3" s="22" t="s">
        <v>0</v>
      </c>
      <c r="L3" s="7"/>
      <c r="M3" s="7">
        <v>18.0</v>
      </c>
      <c r="N3" s="7">
        <v>370.0</v>
      </c>
      <c r="O3" s="7">
        <v>150.0</v>
      </c>
      <c r="P3" s="7">
        <v>97.0</v>
      </c>
      <c r="S3" s="23" t="s">
        <v>29</v>
      </c>
      <c r="T3" s="1"/>
      <c r="U3" s="1"/>
      <c r="V3" s="1"/>
    </row>
    <row r="4">
      <c r="A4" s="27" t="s">
        <v>30</v>
      </c>
      <c r="B4" s="27">
        <v>600.0</v>
      </c>
      <c r="C4" s="27" t="s">
        <v>31</v>
      </c>
      <c r="D4" s="29">
        <f>T39</f>
        <v>1000</v>
      </c>
      <c r="F4" s="27" t="s">
        <v>32</v>
      </c>
      <c r="G4" s="119">
        <v>300.0</v>
      </c>
      <c r="H4" s="13" t="s">
        <v>22</v>
      </c>
      <c r="I4" s="83">
        <v>1584.0</v>
      </c>
      <c r="K4" s="22" t="s">
        <v>23</v>
      </c>
      <c r="L4" s="7"/>
      <c r="M4" s="7">
        <v>16.0</v>
      </c>
      <c r="N4" s="7">
        <v>250.0</v>
      </c>
      <c r="O4" s="7">
        <v>300.0</v>
      </c>
      <c r="P4" s="7">
        <v>18.0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-226.0</v>
      </c>
      <c r="F5" s="27" t="s">
        <v>35</v>
      </c>
      <c r="G5" s="120">
        <v>400.0</v>
      </c>
      <c r="H5" s="13" t="s">
        <v>4</v>
      </c>
      <c r="I5" s="83">
        <v>3456.0</v>
      </c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v>751.0</v>
      </c>
      <c r="F6" s="27" t="s">
        <v>38</v>
      </c>
      <c r="G6" s="120">
        <f>SUM(O3:O5)</f>
        <v>450</v>
      </c>
      <c r="H6" s="13" t="s">
        <v>5</v>
      </c>
      <c r="I6" s="29">
        <f>((L5+P5)*M5)</f>
        <v>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120">
        <f>SUM(N3:N5)</f>
        <v>620</v>
      </c>
      <c r="I7" s="29"/>
      <c r="N7" s="38" t="s">
        <v>205</v>
      </c>
      <c r="O7" s="1">
        <f>(L10*O10)+(L11*O11)+(L12*O12)</f>
        <v>10</v>
      </c>
      <c r="S7" s="23" t="s">
        <v>42</v>
      </c>
      <c r="T7" s="31"/>
      <c r="U7" s="32"/>
      <c r="V7" s="33"/>
    </row>
    <row r="8">
      <c r="A8" s="27" t="s">
        <v>0</v>
      </c>
      <c r="B8" s="27">
        <v>388.0</v>
      </c>
      <c r="C8" s="27" t="s">
        <v>43</v>
      </c>
      <c r="D8" s="36">
        <v>375.0</v>
      </c>
      <c r="F8" s="34" t="s">
        <v>44</v>
      </c>
      <c r="G8" s="121"/>
      <c r="I8" s="29"/>
      <c r="K8" s="12" t="s">
        <v>45</v>
      </c>
    </row>
    <row r="9">
      <c r="A9" s="27" t="s">
        <v>4</v>
      </c>
      <c r="B9" s="27">
        <v>90.0</v>
      </c>
      <c r="C9" s="27" t="s">
        <v>46</v>
      </c>
      <c r="D9" s="122">
        <v>36.0</v>
      </c>
      <c r="F9" s="27" t="s">
        <v>47</v>
      </c>
      <c r="G9" s="120">
        <f>N25</f>
        <v>88</v>
      </c>
      <c r="H9" s="13" t="s">
        <v>181</v>
      </c>
      <c r="I9" s="119">
        <v>48.0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>
        <v>858.0</v>
      </c>
      <c r="C10" s="30"/>
      <c r="D10" s="29"/>
      <c r="F10" s="27" t="s">
        <v>56</v>
      </c>
      <c r="G10" s="119">
        <v>48.0</v>
      </c>
      <c r="H10" s="13" t="s">
        <v>204</v>
      </c>
      <c r="I10" s="119">
        <v>-230.0</v>
      </c>
      <c r="K10" s="38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120">
        <v>0.0</v>
      </c>
      <c r="I11" s="29"/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1936</v>
      </c>
      <c r="C12" s="40" t="s">
        <v>62</v>
      </c>
      <c r="D12" s="42">
        <f>SUM(D4:D11)</f>
        <v>1936</v>
      </c>
      <c r="E12" s="12" t="s">
        <v>182</v>
      </c>
      <c r="F12" s="27" t="s">
        <v>63</v>
      </c>
      <c r="G12" s="121">
        <f>(L10+L11+L12)*N11*12</f>
        <v>1320</v>
      </c>
      <c r="H12" s="87" t="s">
        <v>64</v>
      </c>
      <c r="I12" s="29"/>
      <c r="K12" s="13"/>
      <c r="L12" s="7">
        <v>0.0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20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119">
        <v>36.0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375.0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36">
        <v>751.0</v>
      </c>
      <c r="H17" s="13" t="s">
        <v>81</v>
      </c>
      <c r="I17" s="52"/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4858</v>
      </c>
      <c r="H19" s="54" t="s">
        <v>62</v>
      </c>
      <c r="I19" s="42">
        <f>SUM(I4:I17)</f>
        <v>4858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1500.0</v>
      </c>
      <c r="M25" s="47" t="s">
        <v>101</v>
      </c>
      <c r="N25" s="7">
        <v>88.0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17">
        <v>428.0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117">
        <v>686.0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08">
        <v>774.0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09">
        <v>858.0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v>183.0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65">
        <v>447.0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173.1066176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387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0.4742647059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/>
      <c r="V62" s="7"/>
      <c r="W62" s="7"/>
      <c r="X62" s="7"/>
      <c r="Y62" s="7"/>
      <c r="Z62" s="7"/>
      <c r="AA62" s="7"/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8">
        <f>O7*Q14*1</f>
        <v>300</v>
      </c>
      <c r="H3" s="12" t="s">
        <v>28</v>
      </c>
      <c r="I3" s="29"/>
      <c r="K3" s="22" t="s">
        <v>0</v>
      </c>
      <c r="L3" s="7">
        <v>55.0</v>
      </c>
      <c r="M3" s="7">
        <v>18.0</v>
      </c>
      <c r="N3" s="7">
        <v>370.0</v>
      </c>
      <c r="O3" s="7">
        <v>220.0</v>
      </c>
      <c r="P3" s="7">
        <v>112.0</v>
      </c>
      <c r="S3" s="23" t="s">
        <v>29</v>
      </c>
      <c r="T3" s="1"/>
      <c r="U3" s="1"/>
      <c r="V3" s="1"/>
    </row>
    <row r="4">
      <c r="A4" s="27" t="s">
        <v>30</v>
      </c>
      <c r="B4" s="27">
        <v>400.0</v>
      </c>
      <c r="C4" s="27" t="s">
        <v>31</v>
      </c>
      <c r="D4" s="29">
        <f>T39</f>
        <v>1000</v>
      </c>
      <c r="F4" s="27" t="s">
        <v>32</v>
      </c>
      <c r="G4" s="119">
        <v>300.0</v>
      </c>
      <c r="H4" s="13" t="s">
        <v>22</v>
      </c>
      <c r="I4" s="83">
        <v>990.0</v>
      </c>
      <c r="K4" s="22" t="s">
        <v>23</v>
      </c>
      <c r="L4" s="7">
        <v>230.0</v>
      </c>
      <c r="M4" s="7">
        <v>16.0</v>
      </c>
      <c r="N4" s="7">
        <v>300.0</v>
      </c>
      <c r="O4" s="7">
        <v>350.0</v>
      </c>
      <c r="P4" s="7">
        <v>24.0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526.0</v>
      </c>
      <c r="F5" s="27" t="s">
        <v>35</v>
      </c>
      <c r="G5" s="120">
        <v>400.0</v>
      </c>
      <c r="H5" s="13" t="s">
        <v>4</v>
      </c>
      <c r="I5" s="83">
        <v>3584.0</v>
      </c>
      <c r="K5" s="22" t="s">
        <v>24</v>
      </c>
      <c r="L5" s="1"/>
      <c r="M5" s="7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v>86.0</v>
      </c>
      <c r="F6" s="27" t="s">
        <v>38</v>
      </c>
      <c r="G6" s="120">
        <f>SUM(O3:O5)</f>
        <v>570</v>
      </c>
      <c r="H6" s="13" t="s">
        <v>5</v>
      </c>
      <c r="I6" s="29">
        <f>((L5+P5)*M5)</f>
        <v>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120">
        <f>SUM(N3:N5)</f>
        <v>670</v>
      </c>
      <c r="I7" s="29"/>
      <c r="N7" s="38" t="s">
        <v>205</v>
      </c>
      <c r="O7" s="1">
        <f>(L10*O10)+(L11*O11)+(L12*O12)</f>
        <v>10</v>
      </c>
      <c r="S7" s="23" t="s">
        <v>42</v>
      </c>
      <c r="T7" s="31"/>
      <c r="U7" s="32"/>
      <c r="V7" s="33"/>
    </row>
    <row r="8">
      <c r="A8" s="27" t="s">
        <v>0</v>
      </c>
      <c r="B8" s="27">
        <v>448.0</v>
      </c>
      <c r="C8" s="27" t="s">
        <v>43</v>
      </c>
      <c r="D8" s="36">
        <v>42.0</v>
      </c>
      <c r="F8" s="34" t="s">
        <v>44</v>
      </c>
      <c r="G8" s="121"/>
      <c r="I8" s="29"/>
      <c r="K8" s="12" t="s">
        <v>45</v>
      </c>
    </row>
    <row r="9">
      <c r="A9" s="27" t="s">
        <v>4</v>
      </c>
      <c r="B9" s="27">
        <v>120.0</v>
      </c>
      <c r="C9" s="27" t="s">
        <v>46</v>
      </c>
      <c r="D9" s="122">
        <v>7.0</v>
      </c>
      <c r="F9" s="27" t="s">
        <v>47</v>
      </c>
      <c r="G9" s="120">
        <f>N25</f>
        <v>712</v>
      </c>
      <c r="H9" s="13" t="s">
        <v>181</v>
      </c>
      <c r="I9" s="119">
        <v>60.0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>
        <v>692.0</v>
      </c>
      <c r="C10" s="30"/>
      <c r="D10" s="29"/>
      <c r="F10" s="27" t="s">
        <v>56</v>
      </c>
      <c r="G10" s="119">
        <v>57.0</v>
      </c>
      <c r="H10" s="13" t="s">
        <v>204</v>
      </c>
      <c r="I10" s="119">
        <v>30.0</v>
      </c>
      <c r="K10" s="38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30"/>
      <c r="B11" s="30"/>
      <c r="C11" s="30"/>
      <c r="D11" s="29"/>
      <c r="F11" s="27" t="s">
        <v>59</v>
      </c>
      <c r="G11" s="120">
        <v>0.0</v>
      </c>
      <c r="I11" s="29"/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1660</v>
      </c>
      <c r="C12" s="40" t="s">
        <v>62</v>
      </c>
      <c r="D12" s="42">
        <f>SUM(D4:D11)</f>
        <v>1661</v>
      </c>
      <c r="E12" s="12" t="s">
        <v>182</v>
      </c>
      <c r="F12" s="27" t="s">
        <v>63</v>
      </c>
      <c r="G12" s="121">
        <f>(L10+L11+L12)*N11*12</f>
        <v>1320</v>
      </c>
      <c r="H12" s="87" t="s">
        <v>64</v>
      </c>
      <c r="I12" s="29"/>
      <c r="K12" s="13"/>
      <c r="L12" s="7">
        <v>0.0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20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I14" s="29"/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119">
        <v>7.0</v>
      </c>
      <c r="I15" s="29"/>
      <c r="K15" s="7">
        <v>0.0</v>
      </c>
      <c r="L15" s="47" t="s">
        <v>73</v>
      </c>
      <c r="M15" s="7">
        <v>1.0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42.0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B17" s="13" t="s">
        <v>79</v>
      </c>
      <c r="F17" s="27" t="s">
        <v>80</v>
      </c>
      <c r="G17" s="36">
        <v>86.0</v>
      </c>
      <c r="H17" s="13" t="s">
        <v>81</v>
      </c>
      <c r="I17" s="52"/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4664</v>
      </c>
      <c r="H19" s="54" t="s">
        <v>62</v>
      </c>
      <c r="I19" s="42">
        <f>SUM(I4:I14)</f>
        <v>4664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2288.0</v>
      </c>
      <c r="M25" s="47" t="s">
        <v>101</v>
      </c>
      <c r="N25" s="7">
        <v>712.0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17">
        <v>858.0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123">
        <v>447.0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08">
        <v>265.0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09">
        <v>692.0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36.69017764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65">
        <f>G29-D9</f>
        <v>685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101.0710554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132.5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0.276907001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>
        <v>55.0</v>
      </c>
      <c r="V62" s="7">
        <v>18.0</v>
      </c>
      <c r="W62" s="7">
        <v>224.0</v>
      </c>
      <c r="X62" s="7">
        <v>16.0</v>
      </c>
      <c r="Y62" s="7"/>
      <c r="Z62" s="7"/>
      <c r="AA62" s="7">
        <v>86.0</v>
      </c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62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8">
        <f>O7*Q14*1</f>
        <v>300</v>
      </c>
      <c r="H3" s="12" t="s">
        <v>28</v>
      </c>
      <c r="I3" s="29"/>
      <c r="K3" s="22" t="s">
        <v>0</v>
      </c>
      <c r="L3" s="7">
        <v>3.0</v>
      </c>
      <c r="M3" s="7">
        <v>18.0</v>
      </c>
      <c r="N3" s="7">
        <v>350.0</v>
      </c>
      <c r="O3" s="7">
        <v>220.0</v>
      </c>
      <c r="P3" s="7">
        <v>112.0</v>
      </c>
      <c r="Q3" s="97">
        <f t="shared" ref="Q3:Q4" si="1">P3*0.35</f>
        <v>39.2</v>
      </c>
      <c r="S3" s="23" t="s">
        <v>29</v>
      </c>
      <c r="T3" s="1"/>
      <c r="U3" s="1"/>
      <c r="V3" s="1"/>
    </row>
    <row r="4">
      <c r="A4" s="27" t="s">
        <v>30</v>
      </c>
      <c r="B4" s="27">
        <v>200.0</v>
      </c>
      <c r="C4" s="27" t="s">
        <v>31</v>
      </c>
      <c r="D4" s="29">
        <f>T39</f>
        <v>1000</v>
      </c>
      <c r="F4" s="27" t="s">
        <v>32</v>
      </c>
      <c r="G4" s="119">
        <v>300.0</v>
      </c>
      <c r="H4" s="13" t="s">
        <v>22</v>
      </c>
      <c r="I4" s="83">
        <v>918.0</v>
      </c>
      <c r="K4" s="22" t="s">
        <v>23</v>
      </c>
      <c r="L4" s="7">
        <v>297.0</v>
      </c>
      <c r="M4" s="7">
        <v>16.0</v>
      </c>
      <c r="N4" s="7">
        <v>375.0</v>
      </c>
      <c r="O4" s="7">
        <v>400.0</v>
      </c>
      <c r="P4" s="7">
        <v>24.0</v>
      </c>
      <c r="Q4" s="97">
        <f t="shared" si="1"/>
        <v>8.4</v>
      </c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612.0</v>
      </c>
      <c r="F5" s="27" t="s">
        <v>35</v>
      </c>
      <c r="G5" s="120">
        <v>400.0</v>
      </c>
      <c r="H5" s="13" t="s">
        <v>4</v>
      </c>
      <c r="I5" s="83">
        <v>2800.0</v>
      </c>
      <c r="K5" s="22" t="s">
        <v>24</v>
      </c>
      <c r="L5" s="1"/>
      <c r="M5" s="1"/>
      <c r="N5" s="1"/>
      <c r="O5" s="1"/>
      <c r="P5" s="1"/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f>-I17</f>
        <v>-463</v>
      </c>
      <c r="F6" s="27" t="s">
        <v>38</v>
      </c>
      <c r="G6" s="120">
        <f>SUM(O3:O5)</f>
        <v>620</v>
      </c>
      <c r="H6" s="13" t="s">
        <v>5</v>
      </c>
      <c r="I6" s="29"/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120">
        <f>SUM(N3:N5)</f>
        <v>725</v>
      </c>
      <c r="I7" s="29"/>
      <c r="N7" s="38" t="s">
        <v>205</v>
      </c>
      <c r="O7" s="1">
        <f>(L10*O10)+(L11*O11)+(L12*O12)</f>
        <v>10</v>
      </c>
      <c r="S7" s="23" t="s">
        <v>42</v>
      </c>
      <c r="T7" s="31"/>
      <c r="U7" s="32"/>
      <c r="V7" s="33"/>
    </row>
    <row r="8">
      <c r="A8" s="27" t="s">
        <v>0</v>
      </c>
      <c r="B8" s="27">
        <v>256.0</v>
      </c>
      <c r="C8" s="27" t="s">
        <v>43</v>
      </c>
      <c r="D8" s="36" t="str">
        <f>G16</f>
        <v/>
      </c>
      <c r="F8" s="34" t="s">
        <v>44</v>
      </c>
      <c r="G8" s="121"/>
      <c r="I8" s="29"/>
      <c r="K8" s="12" t="s">
        <v>45</v>
      </c>
    </row>
    <row r="9">
      <c r="A9" s="27" t="s">
        <v>4</v>
      </c>
      <c r="B9" s="27">
        <v>730.0</v>
      </c>
      <c r="C9" s="27" t="s">
        <v>46</v>
      </c>
      <c r="D9" s="85">
        <f>G15</f>
        <v>35</v>
      </c>
      <c r="F9" s="27" t="s">
        <v>47</v>
      </c>
      <c r="G9" s="120">
        <f>N25</f>
        <v>1000</v>
      </c>
      <c r="H9" s="13" t="s">
        <v>181</v>
      </c>
      <c r="I9" s="119">
        <v>-192.0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55</v>
      </c>
      <c r="B10" s="86">
        <v>0.0</v>
      </c>
      <c r="C10" s="27" t="s">
        <v>218</v>
      </c>
      <c r="D10" s="36">
        <v>2.0</v>
      </c>
      <c r="F10" s="27" t="s">
        <v>56</v>
      </c>
      <c r="G10" s="119">
        <v>99.0</v>
      </c>
      <c r="H10" s="13" t="s">
        <v>204</v>
      </c>
      <c r="I10" s="119">
        <v>610.0</v>
      </c>
      <c r="K10" s="38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30"/>
      <c r="B11" s="27"/>
      <c r="C11" s="30"/>
      <c r="D11" s="29"/>
      <c r="F11" s="27" t="s">
        <v>59</v>
      </c>
      <c r="G11" s="120">
        <v>0.0</v>
      </c>
      <c r="I11" s="29"/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1186</v>
      </c>
      <c r="C12" s="40" t="s">
        <v>62</v>
      </c>
      <c r="D12" s="42">
        <f>SUM(D4:D11)</f>
        <v>1186</v>
      </c>
      <c r="E12" s="12" t="s">
        <v>182</v>
      </c>
      <c r="F12" s="27" t="s">
        <v>63</v>
      </c>
      <c r="G12" s="121">
        <f>(L10+L11+L12)*N11*12</f>
        <v>1320</v>
      </c>
      <c r="H12" s="87" t="s">
        <v>64</v>
      </c>
      <c r="I12" s="29"/>
      <c r="K12" s="13"/>
      <c r="L12" s="7">
        <v>0.0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20">
        <v>200.0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H14" s="13" t="s">
        <v>219</v>
      </c>
      <c r="I14" s="36">
        <v>400.0</v>
      </c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119">
        <v>35.0</v>
      </c>
      <c r="I15" s="29"/>
      <c r="K15" s="7">
        <v>0.0</v>
      </c>
      <c r="L15" s="47" t="s">
        <v>73</v>
      </c>
      <c r="M15" s="7">
        <v>0.0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/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F17" s="27" t="s">
        <v>80</v>
      </c>
      <c r="G17" s="36"/>
      <c r="H17" s="13" t="s">
        <v>81</v>
      </c>
      <c r="I17" s="52">
        <v>463.0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4999</v>
      </c>
      <c r="H19" s="54" t="s">
        <v>62</v>
      </c>
      <c r="I19" s="42">
        <f>SUM(I4:I18)</f>
        <v>4999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0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3000.0</v>
      </c>
      <c r="M25" s="47" t="s">
        <v>101</v>
      </c>
      <c r="N25" s="7">
        <v>1000.0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23">
        <v>692.0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123">
        <v>643.0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08">
        <v>357.0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11">
        <v>2.0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177.505571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117">
        <v>37.0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362.9665738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178.5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0.9944289694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>
        <v>55.0</v>
      </c>
      <c r="V62" s="7">
        <v>18.0</v>
      </c>
      <c r="W62" s="7">
        <v>224.0</v>
      </c>
      <c r="X62" s="7">
        <v>16.0</v>
      </c>
      <c r="Y62" s="7"/>
      <c r="Z62" s="7"/>
      <c r="AA62" s="7">
        <v>86.0</v>
      </c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220</v>
      </c>
      <c r="U63" s="7"/>
      <c r="V63" s="7"/>
      <c r="W63" s="7"/>
      <c r="X63" s="7"/>
      <c r="Y63" s="7"/>
      <c r="Z63" s="7"/>
      <c r="AA63" s="1"/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23.25"/>
    <col customWidth="1" min="5" max="5" width="17.75"/>
    <col customWidth="1" min="6" max="6" width="20.0"/>
    <col customWidth="1" min="8" max="8" width="25.3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S1" s="12" t="s">
        <v>12</v>
      </c>
    </row>
    <row r="2">
      <c r="A2" s="124" t="s">
        <v>13</v>
      </c>
      <c r="B2" s="125"/>
      <c r="C2" s="124" t="s">
        <v>14</v>
      </c>
      <c r="D2" s="126"/>
      <c r="F2" s="124" t="s">
        <v>15</v>
      </c>
      <c r="G2" s="125"/>
      <c r="H2" s="127" t="s">
        <v>16</v>
      </c>
      <c r="I2" s="128"/>
      <c r="L2" s="13"/>
      <c r="M2" s="13"/>
      <c r="N2" s="13"/>
      <c r="O2" s="13"/>
      <c r="P2" s="13"/>
      <c r="S2" s="1"/>
      <c r="T2" s="23" t="s">
        <v>22</v>
      </c>
      <c r="U2" s="23" t="s">
        <v>23</v>
      </c>
      <c r="V2" s="23" t="s">
        <v>24</v>
      </c>
    </row>
    <row r="3">
      <c r="A3" s="129" t="s">
        <v>25</v>
      </c>
      <c r="B3" s="130"/>
      <c r="C3" s="129" t="s">
        <v>26</v>
      </c>
      <c r="D3" s="131"/>
      <c r="F3" s="132" t="s">
        <v>27</v>
      </c>
      <c r="G3" s="133">
        <v>511.0</v>
      </c>
      <c r="H3" s="134" t="s">
        <v>28</v>
      </c>
      <c r="I3" s="135"/>
      <c r="K3" s="13"/>
      <c r="L3" s="13"/>
      <c r="M3" s="13"/>
      <c r="N3" s="13"/>
      <c r="O3" s="13"/>
      <c r="P3" s="13"/>
      <c r="Q3" s="136">
        <v>26.0</v>
      </c>
      <c r="S3" s="23" t="s">
        <v>29</v>
      </c>
      <c r="T3" s="1"/>
      <c r="U3" s="1"/>
      <c r="V3" s="1"/>
    </row>
    <row r="4">
      <c r="A4" s="137" t="s">
        <v>30</v>
      </c>
      <c r="B4" s="132">
        <v>0.0</v>
      </c>
      <c r="C4" s="137" t="s">
        <v>31</v>
      </c>
      <c r="D4" s="135">
        <f>T39</f>
        <v>1000</v>
      </c>
      <c r="F4" s="132" t="s">
        <v>32</v>
      </c>
      <c r="G4" s="133">
        <v>500.0</v>
      </c>
      <c r="H4" s="138" t="s">
        <v>22</v>
      </c>
      <c r="I4" s="139">
        <v>900.0</v>
      </c>
      <c r="K4" s="13"/>
      <c r="L4" s="13"/>
      <c r="M4" s="13"/>
      <c r="N4" s="13"/>
      <c r="O4" s="13"/>
      <c r="P4" s="13"/>
      <c r="Q4" s="136">
        <v>72.0</v>
      </c>
      <c r="S4" s="23" t="s">
        <v>33</v>
      </c>
      <c r="T4" s="1"/>
      <c r="U4" s="1"/>
      <c r="V4" s="1"/>
    </row>
    <row r="5">
      <c r="A5" s="140"/>
      <c r="B5" s="141"/>
      <c r="C5" s="137" t="s">
        <v>34</v>
      </c>
      <c r="D5" s="142">
        <v>149.0</v>
      </c>
      <c r="F5" s="132" t="s">
        <v>35</v>
      </c>
      <c r="G5" s="143">
        <v>500.0</v>
      </c>
      <c r="H5" s="138" t="s">
        <v>4</v>
      </c>
      <c r="I5" s="139">
        <v>2790.0</v>
      </c>
      <c r="K5" s="13"/>
      <c r="L5" s="13"/>
      <c r="M5" s="13"/>
      <c r="N5" s="13"/>
      <c r="O5" s="13"/>
      <c r="Q5" s="13">
        <v>77.0</v>
      </c>
      <c r="S5" s="23" t="s">
        <v>36</v>
      </c>
      <c r="T5" s="1"/>
      <c r="U5" s="1"/>
      <c r="V5" s="1"/>
    </row>
    <row r="6">
      <c r="A6" s="140"/>
      <c r="B6" s="141"/>
      <c r="C6" s="137" t="s">
        <v>37</v>
      </c>
      <c r="D6" s="142">
        <v>1023.0</v>
      </c>
      <c r="F6" s="132" t="s">
        <v>38</v>
      </c>
      <c r="G6" s="143">
        <f>SUM(O3:O5)</f>
        <v>0</v>
      </c>
      <c r="H6" s="138" t="s">
        <v>5</v>
      </c>
      <c r="I6" s="139">
        <v>3520.0</v>
      </c>
      <c r="S6" s="23" t="s">
        <v>39</v>
      </c>
      <c r="T6" s="31"/>
      <c r="U6" s="32"/>
      <c r="V6" s="33"/>
    </row>
    <row r="7">
      <c r="A7" s="129" t="s">
        <v>3</v>
      </c>
      <c r="B7" s="130"/>
      <c r="C7" s="129" t="s">
        <v>40</v>
      </c>
      <c r="D7" s="131"/>
      <c r="F7" s="132" t="s">
        <v>41</v>
      </c>
      <c r="G7" s="143">
        <f>SUM(N3:N5)</f>
        <v>0</v>
      </c>
      <c r="H7" s="134" t="s">
        <v>221</v>
      </c>
      <c r="I7" s="144">
        <f>SUM(I3:I6)</f>
        <v>7210</v>
      </c>
      <c r="N7" s="145" t="s">
        <v>205</v>
      </c>
      <c r="O7" s="146">
        <f>(L10*O10)+(L11*O11)+(L12*O12)</f>
        <v>10</v>
      </c>
      <c r="S7" s="23" t="s">
        <v>42</v>
      </c>
      <c r="T7" s="31"/>
      <c r="U7" s="32"/>
      <c r="V7" s="33"/>
    </row>
    <row r="8">
      <c r="A8" s="137" t="s">
        <v>0</v>
      </c>
      <c r="B8" s="132">
        <v>100.0</v>
      </c>
      <c r="C8" s="137" t="s">
        <v>43</v>
      </c>
      <c r="D8" s="142">
        <v>280.0</v>
      </c>
      <c r="F8" s="147"/>
      <c r="G8" s="148"/>
      <c r="H8" s="15"/>
      <c r="I8" s="135"/>
      <c r="K8" s="12" t="s">
        <v>45</v>
      </c>
    </row>
    <row r="9">
      <c r="A9" s="137" t="s">
        <v>4</v>
      </c>
      <c r="B9" s="132">
        <v>100.0</v>
      </c>
      <c r="C9" s="137" t="s">
        <v>46</v>
      </c>
      <c r="D9" s="149">
        <f>G15</f>
        <v>0</v>
      </c>
      <c r="F9" s="132" t="s">
        <v>47</v>
      </c>
      <c r="G9" s="143">
        <f>N25</f>
        <v>0</v>
      </c>
      <c r="H9" s="138" t="s">
        <v>181</v>
      </c>
      <c r="I9" s="133">
        <v>-156.0</v>
      </c>
      <c r="K9" s="13"/>
      <c r="L9" s="150" t="s">
        <v>50</v>
      </c>
      <c r="M9" s="151" t="s">
        <v>51</v>
      </c>
      <c r="N9" s="151" t="s">
        <v>52</v>
      </c>
      <c r="O9" s="151" t="s">
        <v>53</v>
      </c>
      <c r="S9" s="12" t="s">
        <v>54</v>
      </c>
    </row>
    <row r="10">
      <c r="A10" s="137" t="s">
        <v>5</v>
      </c>
      <c r="B10" s="152">
        <v>0.0</v>
      </c>
      <c r="C10" s="137" t="s">
        <v>218</v>
      </c>
      <c r="D10" s="142"/>
      <c r="F10" s="132" t="s">
        <v>56</v>
      </c>
      <c r="G10" s="133">
        <v>20.0</v>
      </c>
      <c r="H10" s="138" t="s">
        <v>204</v>
      </c>
      <c r="I10" s="133">
        <v>-630.0</v>
      </c>
      <c r="K10" s="153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137" t="s">
        <v>55</v>
      </c>
      <c r="B11" s="132">
        <v>2252.0</v>
      </c>
      <c r="C11" s="141"/>
      <c r="D11" s="135"/>
      <c r="F11" s="132" t="s">
        <v>59</v>
      </c>
      <c r="G11" s="143">
        <v>0.0</v>
      </c>
      <c r="H11" s="138" t="s">
        <v>222</v>
      </c>
      <c r="I11" s="142">
        <v>0.0</v>
      </c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154" t="s">
        <v>62</v>
      </c>
      <c r="B12" s="155">
        <f>SUM(B4:B11)</f>
        <v>2452</v>
      </c>
      <c r="C12" s="154" t="s">
        <v>62</v>
      </c>
      <c r="D12" s="156">
        <f>SUM(D4:D11)</f>
        <v>2452</v>
      </c>
      <c r="E12" s="12"/>
      <c r="F12" s="132" t="s">
        <v>63</v>
      </c>
      <c r="G12" s="148">
        <f>(L10+L11+L12)*N11*12</f>
        <v>1320</v>
      </c>
      <c r="H12" s="157"/>
      <c r="I12" s="135"/>
      <c r="K12" s="13"/>
      <c r="L12" s="7">
        <v>0.0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132" t="s">
        <v>66</v>
      </c>
      <c r="G13" s="143">
        <v>200.0</v>
      </c>
      <c r="H13" s="15"/>
      <c r="I13" s="135"/>
      <c r="K13" s="12"/>
      <c r="P13" s="43" t="s">
        <v>68</v>
      </c>
      <c r="Q13" s="7">
        <v>1000.0</v>
      </c>
    </row>
    <row r="14">
      <c r="A14" s="158" t="s">
        <v>104</v>
      </c>
      <c r="B14" s="159">
        <v>-2.0</v>
      </c>
      <c r="C14" s="158" t="s">
        <v>105</v>
      </c>
      <c r="F14" s="141"/>
      <c r="G14" s="135"/>
      <c r="H14" s="138" t="s">
        <v>219</v>
      </c>
      <c r="I14" s="142">
        <v>0.0</v>
      </c>
      <c r="K14" s="13"/>
      <c r="M14" s="13"/>
      <c r="N14" s="13"/>
      <c r="P14" s="43" t="s">
        <v>71</v>
      </c>
      <c r="Q14" s="7">
        <v>30.0</v>
      </c>
    </row>
    <row r="15">
      <c r="A15" s="158" t="s">
        <v>108</v>
      </c>
      <c r="B15" s="159">
        <v>-37.0</v>
      </c>
      <c r="C15" s="158" t="s">
        <v>109</v>
      </c>
      <c r="F15" s="132" t="s">
        <v>72</v>
      </c>
      <c r="G15" s="133">
        <f>G30*0.2</f>
        <v>0</v>
      </c>
      <c r="H15" s="15"/>
      <c r="I15" s="135"/>
      <c r="K15" s="13"/>
      <c r="L15" s="13"/>
      <c r="M15" s="13"/>
      <c r="N15" s="13"/>
      <c r="P15" s="43" t="s">
        <v>74</v>
      </c>
      <c r="Q15" s="7">
        <v>300.0</v>
      </c>
      <c r="S15" s="49" t="s">
        <v>75</v>
      </c>
      <c r="T15" s="1"/>
    </row>
    <row r="16">
      <c r="A16" s="158" t="s">
        <v>216</v>
      </c>
      <c r="B16" s="160">
        <v>37.0</v>
      </c>
      <c r="C16" s="158" t="s">
        <v>223</v>
      </c>
      <c r="F16" s="132" t="s">
        <v>76</v>
      </c>
      <c r="G16" s="142">
        <v>280.0</v>
      </c>
      <c r="H16" s="15"/>
      <c r="I16" s="135"/>
      <c r="K16" s="13"/>
      <c r="L16" s="13"/>
      <c r="M16" s="13"/>
      <c r="N16" s="13"/>
      <c r="P16" s="51" t="s">
        <v>68</v>
      </c>
      <c r="Q16" s="7">
        <v>3000.0</v>
      </c>
      <c r="S16" s="47" t="s">
        <v>78</v>
      </c>
      <c r="T16" s="7">
        <v>8.0</v>
      </c>
    </row>
    <row r="17">
      <c r="A17" s="158" t="s">
        <v>217</v>
      </c>
      <c r="B17" s="161">
        <v>2252.0</v>
      </c>
      <c r="C17" s="162"/>
      <c r="F17" s="137" t="s">
        <v>80</v>
      </c>
      <c r="G17" s="163">
        <v>1023.0</v>
      </c>
      <c r="H17" s="134" t="s">
        <v>81</v>
      </c>
      <c r="I17" s="164"/>
      <c r="P17" s="51" t="s">
        <v>71</v>
      </c>
      <c r="Q17" s="7">
        <v>50.0</v>
      </c>
      <c r="S17" s="47" t="s">
        <v>82</v>
      </c>
      <c r="T17" s="7" t="s">
        <v>83</v>
      </c>
    </row>
    <row r="18">
      <c r="A18" s="158" t="s">
        <v>118</v>
      </c>
      <c r="B18" s="165">
        <f>(B20/365)*B21</f>
        <v>0.2990388816</v>
      </c>
      <c r="C18" s="158" t="s">
        <v>119</v>
      </c>
      <c r="F18" s="141"/>
      <c r="G18" s="135"/>
      <c r="H18" s="15"/>
      <c r="I18" s="135"/>
      <c r="P18" s="51" t="s">
        <v>74</v>
      </c>
      <c r="Q18" s="7">
        <v>1000.0</v>
      </c>
    </row>
    <row r="19">
      <c r="A19" s="158" t="s">
        <v>209</v>
      </c>
      <c r="B19" s="161">
        <v>1972.0</v>
      </c>
      <c r="C19" s="158" t="s">
        <v>224</v>
      </c>
      <c r="F19" s="166" t="s">
        <v>62</v>
      </c>
      <c r="G19" s="167">
        <f>G3+G4+G5+G6+G7+G8+G9+G10+G11+G12+G13+G15+G16+G17</f>
        <v>4354</v>
      </c>
      <c r="H19" s="168" t="s">
        <v>62</v>
      </c>
      <c r="I19" s="169">
        <f>I7+I9+I10+I11+I17</f>
        <v>6424</v>
      </c>
      <c r="K19" s="170" t="s">
        <v>84</v>
      </c>
      <c r="L19" s="170"/>
      <c r="M19" s="94"/>
      <c r="N19" s="94"/>
      <c r="O19" s="94"/>
      <c r="P19" s="94"/>
    </row>
    <row r="20">
      <c r="A20" s="13" t="s">
        <v>192</v>
      </c>
      <c r="B20" s="97">
        <f>B22*365</f>
        <v>5.899956313</v>
      </c>
      <c r="K20" s="171" t="s">
        <v>89</v>
      </c>
      <c r="L20" s="172" t="s">
        <v>90</v>
      </c>
      <c r="M20" s="172" t="s">
        <v>91</v>
      </c>
      <c r="N20" s="172" t="s">
        <v>92</v>
      </c>
      <c r="O20" s="172" t="s">
        <v>93</v>
      </c>
      <c r="P20" s="172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A21" s="13" t="s">
        <v>193</v>
      </c>
      <c r="B21" s="103">
        <f>(B16+0)/2</f>
        <v>18.5</v>
      </c>
      <c r="D21" s="173"/>
      <c r="E21" s="173"/>
      <c r="F21" s="173"/>
      <c r="G21" s="173"/>
      <c r="H21" s="173"/>
      <c r="I21" s="173"/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A22" s="13" t="s">
        <v>194</v>
      </c>
      <c r="B22" s="104">
        <f>B16/(B16+B17)</f>
        <v>0.01616426387</v>
      </c>
      <c r="E22" s="174" t="s">
        <v>17</v>
      </c>
      <c r="F22" s="174" t="s">
        <v>18</v>
      </c>
      <c r="G22" s="174" t="s">
        <v>19</v>
      </c>
      <c r="H22" s="174" t="s">
        <v>20</v>
      </c>
      <c r="I22" s="174" t="s">
        <v>21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C23" s="98" t="s">
        <v>225</v>
      </c>
      <c r="D23" s="158" t="s">
        <v>0</v>
      </c>
      <c r="E23" s="175">
        <v>11.0</v>
      </c>
      <c r="F23" s="175">
        <v>18.0</v>
      </c>
      <c r="G23" s="175">
        <v>325.0</v>
      </c>
      <c r="H23" s="175">
        <v>220.0</v>
      </c>
      <c r="I23" s="175">
        <v>64.0</v>
      </c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A24" s="59"/>
      <c r="D24" s="158" t="s">
        <v>23</v>
      </c>
      <c r="E24" s="175">
        <v>60.0</v>
      </c>
      <c r="F24" s="175">
        <v>15.0</v>
      </c>
      <c r="G24" s="175">
        <v>350.0</v>
      </c>
      <c r="H24" s="175">
        <v>400.0</v>
      </c>
      <c r="I24" s="175">
        <v>146.0</v>
      </c>
      <c r="K24" s="12"/>
      <c r="O24" s="27" t="s">
        <v>98</v>
      </c>
      <c r="Q24" s="63">
        <v>1000.0</v>
      </c>
    </row>
    <row r="25">
      <c r="D25" s="158" t="s">
        <v>24</v>
      </c>
      <c r="E25" s="175">
        <v>220.0</v>
      </c>
      <c r="F25" s="175">
        <v>16.0</v>
      </c>
      <c r="G25" s="175">
        <v>375.0</v>
      </c>
      <c r="H25" s="175">
        <v>400.0</v>
      </c>
      <c r="I25" s="176"/>
      <c r="K25" s="177" t="s">
        <v>100</v>
      </c>
      <c r="L25" s="7">
        <v>3000.0</v>
      </c>
      <c r="M25" s="178" t="s">
        <v>101</v>
      </c>
      <c r="N25" s="7">
        <v>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D26" s="173"/>
      <c r="E26" s="173"/>
      <c r="F26" s="179"/>
      <c r="G26" s="180"/>
      <c r="H26" s="179"/>
      <c r="I26" s="173"/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73"/>
      <c r="E27" s="173"/>
      <c r="F27" s="179"/>
      <c r="G27" s="180"/>
      <c r="H27" s="179"/>
      <c r="I27" s="173"/>
      <c r="S27" s="64" t="s">
        <v>110</v>
      </c>
      <c r="T27" s="7">
        <v>10.0</v>
      </c>
    </row>
    <row r="28">
      <c r="D28" s="173"/>
      <c r="E28" s="173"/>
      <c r="F28" s="179"/>
      <c r="G28" s="181"/>
      <c r="H28" s="179"/>
      <c r="I28" s="173"/>
      <c r="K28" s="12" t="s">
        <v>187</v>
      </c>
      <c r="L28" s="151" t="s">
        <v>188</v>
      </c>
      <c r="M28" s="151" t="s">
        <v>154</v>
      </c>
      <c r="N28" s="151" t="s">
        <v>155</v>
      </c>
      <c r="O28" s="151" t="s">
        <v>189</v>
      </c>
      <c r="S28" s="64" t="s">
        <v>115</v>
      </c>
      <c r="T28" s="7">
        <v>5.0</v>
      </c>
    </row>
    <row r="29">
      <c r="D29" s="173"/>
      <c r="E29" s="173"/>
      <c r="F29" s="179"/>
      <c r="G29" s="182"/>
      <c r="H29" s="173"/>
      <c r="I29" s="173"/>
      <c r="K29" s="178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D30" s="173"/>
      <c r="E30" s="173"/>
      <c r="F30" s="179"/>
      <c r="G30" s="183"/>
      <c r="H30" s="179"/>
      <c r="I30" s="173"/>
      <c r="K30" s="178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D31" s="173"/>
      <c r="E31" s="173"/>
      <c r="F31" s="179"/>
      <c r="G31" s="182"/>
      <c r="H31" s="179"/>
      <c r="I31" s="173"/>
      <c r="K31" s="178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D32" s="173"/>
      <c r="E32" s="173"/>
      <c r="F32" s="173"/>
      <c r="G32" s="184"/>
      <c r="H32" s="173"/>
      <c r="I32" s="173"/>
      <c r="S32" s="70" t="s">
        <v>126</v>
      </c>
      <c r="T32" s="7">
        <v>1000.0</v>
      </c>
      <c r="U32" s="7">
        <v>30.0</v>
      </c>
      <c r="V32" s="7">
        <v>300.0</v>
      </c>
    </row>
    <row r="33">
      <c r="D33" s="173"/>
      <c r="E33" s="173"/>
      <c r="F33" s="173"/>
      <c r="G33" s="185"/>
      <c r="H33" s="173"/>
      <c r="I33" s="173"/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D34" s="173"/>
      <c r="E34" s="173"/>
      <c r="F34" s="173"/>
      <c r="G34" s="186"/>
      <c r="H34" s="173"/>
      <c r="I34" s="173"/>
      <c r="K34" s="71" t="s">
        <v>129</v>
      </c>
      <c r="L34" s="72">
        <v>0.0</v>
      </c>
    </row>
    <row r="35">
      <c r="D35" s="173"/>
      <c r="E35" s="173"/>
      <c r="F35" s="173"/>
      <c r="G35" s="173"/>
      <c r="H35" s="173"/>
      <c r="I35" s="173"/>
      <c r="K35" s="13" t="s">
        <v>130</v>
      </c>
      <c r="S35" s="49" t="s">
        <v>131</v>
      </c>
    </row>
    <row r="36">
      <c r="D36" s="173"/>
      <c r="E36" s="173"/>
      <c r="F36" s="173"/>
      <c r="G36" s="173"/>
      <c r="H36" s="173"/>
      <c r="I36" s="173"/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>
        <v>55.0</v>
      </c>
      <c r="V62" s="7">
        <v>18.0</v>
      </c>
      <c r="W62" s="7">
        <v>224.0</v>
      </c>
      <c r="X62" s="7">
        <v>16.0</v>
      </c>
      <c r="Y62" s="7"/>
      <c r="Z62" s="7"/>
      <c r="AA62" s="7">
        <v>86.0</v>
      </c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220</v>
      </c>
      <c r="U63" s="7">
        <v>51.0</v>
      </c>
      <c r="V63" s="7">
        <v>18.0</v>
      </c>
      <c r="W63" s="7">
        <v>175.0</v>
      </c>
      <c r="X63" s="7">
        <v>16.0</v>
      </c>
      <c r="Y63" s="7"/>
      <c r="Z63" s="7"/>
      <c r="AA63" s="7">
        <v>-463.0</v>
      </c>
    </row>
    <row r="64">
      <c r="T64" s="187" t="s">
        <v>226</v>
      </c>
      <c r="U64" s="7">
        <v>50.0</v>
      </c>
      <c r="V64" s="7">
        <v>18.0</v>
      </c>
      <c r="W64" s="7">
        <v>186.0</v>
      </c>
      <c r="X64" s="7">
        <v>15.0</v>
      </c>
      <c r="Y64" s="7">
        <v>220.0</v>
      </c>
      <c r="Z64" s="7">
        <v>16.0</v>
      </c>
      <c r="AA64" s="7">
        <v>1023.0</v>
      </c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9">
        <v>630.0</v>
      </c>
      <c r="H3" s="12" t="s">
        <v>28</v>
      </c>
      <c r="I3" s="29"/>
      <c r="K3" s="22" t="s">
        <v>0</v>
      </c>
      <c r="L3" s="7">
        <v>0.0</v>
      </c>
      <c r="M3" s="7">
        <v>18.0</v>
      </c>
      <c r="N3" s="7">
        <v>0.0</v>
      </c>
      <c r="O3" s="7">
        <v>220.0</v>
      </c>
      <c r="P3" s="7">
        <v>25.0</v>
      </c>
      <c r="Q3" s="136"/>
      <c r="S3" s="23" t="s">
        <v>29</v>
      </c>
      <c r="T3" s="1"/>
      <c r="U3" s="1"/>
      <c r="V3" s="1"/>
    </row>
    <row r="4">
      <c r="A4" s="27" t="s">
        <v>30</v>
      </c>
      <c r="B4" s="27">
        <v>1600.0</v>
      </c>
      <c r="C4" s="27" t="s">
        <v>31</v>
      </c>
      <c r="D4" s="29">
        <f>T39</f>
        <v>1000</v>
      </c>
      <c r="F4" s="27" t="s">
        <v>32</v>
      </c>
      <c r="G4" s="119">
        <v>500.0</v>
      </c>
      <c r="H4" s="13" t="s">
        <v>22</v>
      </c>
      <c r="I4" s="83">
        <f t="shared" ref="I4:I6" si="1">((L3+P3)*M3)</f>
        <v>450</v>
      </c>
      <c r="K4" s="22" t="s">
        <v>23</v>
      </c>
      <c r="L4" s="7">
        <v>80.0</v>
      </c>
      <c r="M4" s="7">
        <v>15.0</v>
      </c>
      <c r="N4" s="7">
        <v>350.0</v>
      </c>
      <c r="O4" s="7">
        <v>400.0</v>
      </c>
      <c r="P4" s="7">
        <v>20.0</v>
      </c>
      <c r="Q4" s="136"/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1172.0</v>
      </c>
      <c r="F5" s="27" t="s">
        <v>35</v>
      </c>
      <c r="G5" s="120">
        <v>500.0</v>
      </c>
      <c r="H5" s="13" t="s">
        <v>4</v>
      </c>
      <c r="I5" s="83">
        <f t="shared" si="1"/>
        <v>1500</v>
      </c>
      <c r="K5" s="22" t="s">
        <v>24</v>
      </c>
      <c r="L5" s="7">
        <v>275.0</v>
      </c>
      <c r="M5" s="7">
        <v>16.0</v>
      </c>
      <c r="N5" s="7">
        <v>400.0</v>
      </c>
      <c r="O5" s="7">
        <v>400.0</v>
      </c>
      <c r="P5" s="7">
        <v>0.0</v>
      </c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f>G17</f>
        <v>228</v>
      </c>
      <c r="F6" s="27" t="s">
        <v>38</v>
      </c>
      <c r="G6" s="120">
        <f>SUM(O3:O5)</f>
        <v>1020</v>
      </c>
      <c r="H6" s="13" t="s">
        <v>5</v>
      </c>
      <c r="I6" s="83">
        <f t="shared" si="1"/>
        <v>4400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120">
        <f>SUM(N3:N5)</f>
        <v>750</v>
      </c>
      <c r="H7" s="12" t="s">
        <v>221</v>
      </c>
      <c r="I7" s="188">
        <f>SUM(I3:I6)</f>
        <v>6350</v>
      </c>
      <c r="N7" s="38" t="s">
        <v>205</v>
      </c>
      <c r="O7" s="1">
        <f>(L10*O10)+(L11*O11)+(L12*O12)</f>
        <v>14.8</v>
      </c>
      <c r="S7" s="23" t="s">
        <v>42</v>
      </c>
      <c r="T7" s="31"/>
      <c r="U7" s="32"/>
      <c r="V7" s="33"/>
    </row>
    <row r="8">
      <c r="A8" s="27" t="s">
        <v>0</v>
      </c>
      <c r="B8" s="27"/>
      <c r="C8" s="27" t="s">
        <v>43</v>
      </c>
      <c r="D8" s="36">
        <v>0.0</v>
      </c>
      <c r="F8" s="34" t="s">
        <v>44</v>
      </c>
      <c r="G8" s="121"/>
      <c r="I8" s="29"/>
      <c r="K8" s="12" t="s">
        <v>45</v>
      </c>
    </row>
    <row r="9">
      <c r="A9" s="27" t="s">
        <v>4</v>
      </c>
      <c r="B9" s="27"/>
      <c r="C9" s="27" t="s">
        <v>46</v>
      </c>
      <c r="D9" s="85">
        <f>G15</f>
        <v>0.1002557545</v>
      </c>
      <c r="F9" s="27" t="s">
        <v>47</v>
      </c>
      <c r="G9" s="120">
        <f>N25</f>
        <v>0</v>
      </c>
      <c r="H9" s="13" t="s">
        <v>181</v>
      </c>
      <c r="I9" s="119">
        <v>0.0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</v>
      </c>
      <c r="B10" s="86"/>
      <c r="C10" s="27" t="s">
        <v>218</v>
      </c>
      <c r="D10" s="36"/>
      <c r="F10" s="27" t="s">
        <v>56</v>
      </c>
      <c r="G10" s="119">
        <v>96.0</v>
      </c>
      <c r="H10" s="13" t="s">
        <v>204</v>
      </c>
      <c r="I10" s="119">
        <v>0.0</v>
      </c>
      <c r="K10" s="38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27" t="s">
        <v>55</v>
      </c>
      <c r="B11" s="27"/>
      <c r="C11" s="30"/>
      <c r="D11" s="29"/>
      <c r="F11" s="27" t="s">
        <v>59</v>
      </c>
      <c r="G11" s="120">
        <v>0.0</v>
      </c>
      <c r="H11" s="13" t="s">
        <v>222</v>
      </c>
      <c r="I11" s="36">
        <v>0.0</v>
      </c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1600</v>
      </c>
      <c r="C12" s="40" t="s">
        <v>62</v>
      </c>
      <c r="D12" s="42">
        <f>SUM(D4:D11)</f>
        <v>2400.100256</v>
      </c>
      <c r="E12" s="12" t="s">
        <v>182</v>
      </c>
      <c r="F12" s="27" t="s">
        <v>63</v>
      </c>
      <c r="G12" s="121">
        <f>(L10+L11+L12)*N11*12</f>
        <v>2112</v>
      </c>
      <c r="H12" s="87" t="s">
        <v>64</v>
      </c>
      <c r="I12" s="29"/>
      <c r="K12" s="13"/>
      <c r="L12" s="7">
        <v>6.0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20">
        <v>400.0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H14" s="13" t="s">
        <v>219</v>
      </c>
      <c r="I14" s="36">
        <v>0.0</v>
      </c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119">
        <f>G30*0.2</f>
        <v>0.1002557545</v>
      </c>
      <c r="I15" s="29"/>
      <c r="K15" s="7">
        <v>0.0</v>
      </c>
      <c r="L15" s="47" t="s">
        <v>73</v>
      </c>
      <c r="M15" s="7">
        <v>2.0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>
        <v>114.0</v>
      </c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F17" s="27" t="s">
        <v>80</v>
      </c>
      <c r="G17" s="36">
        <v>228.0</v>
      </c>
      <c r="H17" s="13" t="s">
        <v>81</v>
      </c>
      <c r="I17" s="52"/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6350.100256</v>
      </c>
      <c r="H19" s="54" t="s">
        <v>62</v>
      </c>
      <c r="I19" s="42">
        <f>I7+I9+I10+I11+I17</f>
        <v>6350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-0.1002557545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3000.0</v>
      </c>
      <c r="M25" s="47" t="s">
        <v>101</v>
      </c>
      <c r="N25" s="7">
        <v>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23">
        <v>692.0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123">
        <v>685.0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89">
        <v>-28.0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09">
        <v>810.0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0.5012787724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102">
        <f>G29-D9</f>
        <v>809.8997442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-13.06905371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-14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-0.0358056266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>
        <v>55.0</v>
      </c>
      <c r="V62" s="7">
        <v>18.0</v>
      </c>
      <c r="W62" s="7">
        <v>224.0</v>
      </c>
      <c r="X62" s="7">
        <v>16.0</v>
      </c>
      <c r="Y62" s="7"/>
      <c r="Z62" s="7"/>
      <c r="AA62" s="7">
        <v>86.0</v>
      </c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220</v>
      </c>
      <c r="U63" s="7">
        <v>51.0</v>
      </c>
      <c r="V63" s="7">
        <v>18.0</v>
      </c>
      <c r="W63" s="7">
        <v>175.0</v>
      </c>
      <c r="X63" s="7">
        <v>16.0</v>
      </c>
      <c r="Y63" s="7"/>
      <c r="Z63" s="7"/>
      <c r="AA63" s="7">
        <v>-463.0</v>
      </c>
    </row>
    <row r="64">
      <c r="T64" s="187" t="s">
        <v>226</v>
      </c>
      <c r="U64" s="7">
        <v>50.0</v>
      </c>
      <c r="V64" s="7">
        <v>18.0</v>
      </c>
      <c r="W64" s="7">
        <v>186.0</v>
      </c>
      <c r="X64" s="7">
        <v>15.0</v>
      </c>
      <c r="Y64" s="7">
        <v>220.0</v>
      </c>
      <c r="Z64" s="7">
        <v>16.0</v>
      </c>
      <c r="AA64" s="7">
        <v>1023.0</v>
      </c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3.25"/>
    <col customWidth="1" min="5" max="6" width="21.5"/>
    <col customWidth="1" min="8" max="8" width="30.88"/>
    <col customWidth="1" min="10" max="10" width="11.25"/>
    <col customWidth="1" min="11" max="11" width="19.38"/>
    <col customWidth="1" min="12" max="12" width="17.75"/>
    <col customWidth="1" min="13" max="13" width="14.38"/>
    <col customWidth="1" min="14" max="14" width="15.38"/>
    <col customWidth="1" min="16" max="16" width="14.38"/>
    <col customWidth="1" min="19" max="19" width="31.75"/>
    <col customWidth="1" min="20" max="20" width="13.5"/>
    <col customWidth="1" min="23" max="23" width="21.75"/>
  </cols>
  <sheetData>
    <row r="1">
      <c r="A1" s="16"/>
      <c r="B1" s="17"/>
      <c r="C1" s="17"/>
      <c r="D1" s="17"/>
      <c r="E1" s="17"/>
      <c r="F1" s="16" t="s">
        <v>9</v>
      </c>
      <c r="L1" s="13" t="s">
        <v>10</v>
      </c>
      <c r="N1" s="13" t="s">
        <v>11</v>
      </c>
      <c r="S1" s="12" t="s">
        <v>12</v>
      </c>
    </row>
    <row r="2">
      <c r="A2" s="18" t="s">
        <v>13</v>
      </c>
      <c r="B2" s="19"/>
      <c r="C2" s="18" t="s">
        <v>14</v>
      </c>
      <c r="D2" s="20"/>
      <c r="F2" s="18" t="s">
        <v>15</v>
      </c>
      <c r="G2" s="19"/>
      <c r="H2" s="21" t="s">
        <v>16</v>
      </c>
      <c r="I2" s="20"/>
      <c r="K2" s="1"/>
      <c r="L2" s="22" t="s">
        <v>17</v>
      </c>
      <c r="M2" s="22" t="s">
        <v>18</v>
      </c>
      <c r="N2" s="22" t="s">
        <v>19</v>
      </c>
      <c r="O2" s="22" t="s">
        <v>20</v>
      </c>
      <c r="P2" s="22" t="s">
        <v>21</v>
      </c>
      <c r="S2" s="1"/>
      <c r="T2" s="23" t="s">
        <v>22</v>
      </c>
      <c r="U2" s="23" t="s">
        <v>23</v>
      </c>
      <c r="V2" s="23" t="s">
        <v>24</v>
      </c>
    </row>
    <row r="3">
      <c r="A3" s="24" t="s">
        <v>25</v>
      </c>
      <c r="B3" s="25"/>
      <c r="C3" s="24" t="s">
        <v>26</v>
      </c>
      <c r="D3" s="26"/>
      <c r="F3" s="27" t="s">
        <v>27</v>
      </c>
      <c r="G3" s="119">
        <v>630.0</v>
      </c>
      <c r="H3" s="12" t="s">
        <v>28</v>
      </c>
      <c r="I3" s="29"/>
      <c r="K3" s="22" t="s">
        <v>0</v>
      </c>
      <c r="L3" s="7">
        <v>0.0</v>
      </c>
      <c r="M3" s="7">
        <v>18.0</v>
      </c>
      <c r="N3" s="7">
        <v>0.0</v>
      </c>
      <c r="O3" s="7">
        <v>220.0</v>
      </c>
      <c r="P3" s="7">
        <v>25.0</v>
      </c>
      <c r="Q3" s="136"/>
      <c r="S3" s="23" t="s">
        <v>29</v>
      </c>
      <c r="T3" s="1"/>
      <c r="U3" s="1"/>
      <c r="V3" s="1"/>
    </row>
    <row r="4">
      <c r="A4" s="27" t="s">
        <v>30</v>
      </c>
      <c r="B4" s="27">
        <v>1600.0</v>
      </c>
      <c r="C4" s="27" t="s">
        <v>31</v>
      </c>
      <c r="D4" s="29">
        <f>T39</f>
        <v>1000</v>
      </c>
      <c r="F4" s="27" t="s">
        <v>32</v>
      </c>
      <c r="G4" s="119">
        <v>500.0</v>
      </c>
      <c r="H4" s="13" t="s">
        <v>22</v>
      </c>
      <c r="I4" s="83">
        <f>((L3+P3)*M3)</f>
        <v>450</v>
      </c>
      <c r="K4" s="22" t="s">
        <v>23</v>
      </c>
      <c r="L4" s="7">
        <v>80.0</v>
      </c>
      <c r="M4" s="7">
        <v>15.0</v>
      </c>
      <c r="N4" s="7">
        <v>350.0</v>
      </c>
      <c r="O4" s="7">
        <v>400.0</v>
      </c>
      <c r="P4" s="7">
        <v>20.0</v>
      </c>
      <c r="Q4" s="136"/>
      <c r="S4" s="23" t="s">
        <v>33</v>
      </c>
      <c r="T4" s="1"/>
      <c r="U4" s="1"/>
      <c r="V4" s="1"/>
    </row>
    <row r="5">
      <c r="A5" s="30"/>
      <c r="B5" s="30"/>
      <c r="C5" s="27" t="s">
        <v>34</v>
      </c>
      <c r="D5" s="36">
        <v>1172.0</v>
      </c>
      <c r="F5" s="27" t="s">
        <v>35</v>
      </c>
      <c r="G5" s="120">
        <v>500.0</v>
      </c>
      <c r="H5" s="13" t="s">
        <v>4</v>
      </c>
      <c r="I5" s="83">
        <f t="shared" ref="I5:I6" si="1">((L4+P4)*M4)*0.75</f>
        <v>1125</v>
      </c>
      <c r="K5" s="22" t="s">
        <v>24</v>
      </c>
      <c r="L5" s="7">
        <v>275.0</v>
      </c>
      <c r="M5" s="7">
        <v>16.0</v>
      </c>
      <c r="N5" s="7">
        <v>400.0</v>
      </c>
      <c r="O5" s="7">
        <v>400.0</v>
      </c>
      <c r="P5" s="7">
        <v>0.0</v>
      </c>
      <c r="S5" s="23" t="s">
        <v>36</v>
      </c>
      <c r="T5" s="1"/>
      <c r="U5" s="1"/>
      <c r="V5" s="1"/>
    </row>
    <row r="6">
      <c r="A6" s="30"/>
      <c r="B6" s="30"/>
      <c r="C6" s="27" t="s">
        <v>37</v>
      </c>
      <c r="D6" s="36">
        <f>I17</f>
        <v>1113</v>
      </c>
      <c r="F6" s="27" t="s">
        <v>38</v>
      </c>
      <c r="G6" s="120">
        <f>SUM(O3:O5)</f>
        <v>1020</v>
      </c>
      <c r="H6" s="13" t="s">
        <v>5</v>
      </c>
      <c r="I6" s="83">
        <f t="shared" si="1"/>
        <v>3300</v>
      </c>
      <c r="S6" s="23" t="s">
        <v>39</v>
      </c>
      <c r="T6" s="31"/>
      <c r="U6" s="32"/>
      <c r="V6" s="33"/>
    </row>
    <row r="7">
      <c r="A7" s="24" t="s">
        <v>3</v>
      </c>
      <c r="B7" s="25"/>
      <c r="C7" s="24" t="s">
        <v>40</v>
      </c>
      <c r="D7" s="26"/>
      <c r="F7" s="27" t="s">
        <v>41</v>
      </c>
      <c r="G7" s="120">
        <f>SUM(N3:N5)</f>
        <v>750</v>
      </c>
      <c r="H7" s="12" t="s">
        <v>221</v>
      </c>
      <c r="I7" s="188">
        <f>SUM(I3:I6)</f>
        <v>4875</v>
      </c>
      <c r="N7" s="38" t="s">
        <v>205</v>
      </c>
      <c r="O7" s="1">
        <f>(L10*O10)+(L11*O11)+(L12*O12)</f>
        <v>14.8</v>
      </c>
      <c r="S7" s="23" t="s">
        <v>42</v>
      </c>
      <c r="T7" s="31"/>
      <c r="U7" s="32"/>
      <c r="V7" s="33"/>
    </row>
    <row r="8">
      <c r="A8" s="27" t="s">
        <v>0</v>
      </c>
      <c r="B8" s="27">
        <v>0.0</v>
      </c>
      <c r="C8" s="27" t="s">
        <v>43</v>
      </c>
      <c r="D8" s="36">
        <v>-665.0</v>
      </c>
      <c r="F8" s="34" t="s">
        <v>44</v>
      </c>
      <c r="G8" s="121"/>
      <c r="I8" s="29"/>
      <c r="K8" s="12" t="s">
        <v>45</v>
      </c>
    </row>
    <row r="9">
      <c r="A9" s="27" t="s">
        <v>4</v>
      </c>
      <c r="B9" s="27">
        <f>25*5</f>
        <v>125</v>
      </c>
      <c r="C9" s="27" t="s">
        <v>46</v>
      </c>
      <c r="D9" s="85">
        <f>G15</f>
        <v>0.1131313131</v>
      </c>
      <c r="F9" s="27" t="s">
        <v>47</v>
      </c>
      <c r="G9" s="120">
        <f>N25</f>
        <v>0</v>
      </c>
      <c r="H9" s="13" t="s">
        <v>181</v>
      </c>
      <c r="I9" s="119">
        <v>0.0</v>
      </c>
      <c r="K9" s="38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S9" s="12" t="s">
        <v>54</v>
      </c>
    </row>
    <row r="10">
      <c r="A10" s="27" t="s">
        <v>5</v>
      </c>
      <c r="B10" s="86">
        <f>69*6</f>
        <v>414</v>
      </c>
      <c r="C10" s="27" t="s">
        <v>218</v>
      </c>
      <c r="D10" s="36"/>
      <c r="F10" s="27" t="s">
        <v>56</v>
      </c>
      <c r="G10" s="119">
        <v>96.0</v>
      </c>
      <c r="H10" s="13" t="s">
        <v>204</v>
      </c>
      <c r="I10" s="119">
        <v>0.0</v>
      </c>
      <c r="K10" s="38" t="s">
        <v>57</v>
      </c>
      <c r="L10" s="7">
        <v>10.0</v>
      </c>
      <c r="M10" s="7">
        <v>0.0</v>
      </c>
      <c r="N10" s="7">
        <v>11.0</v>
      </c>
      <c r="O10" s="7">
        <v>1.0</v>
      </c>
      <c r="S10" s="7" t="s">
        <v>58</v>
      </c>
      <c r="T10" s="1"/>
    </row>
    <row r="11">
      <c r="A11" s="27" t="s">
        <v>55</v>
      </c>
      <c r="B11" s="27"/>
      <c r="C11" s="30"/>
      <c r="D11" s="29"/>
      <c r="F11" s="27" t="s">
        <v>59</v>
      </c>
      <c r="G11" s="120">
        <v>0.0</v>
      </c>
      <c r="H11" s="13" t="s">
        <v>222</v>
      </c>
      <c r="I11" s="36">
        <v>0.0</v>
      </c>
      <c r="L11" s="7">
        <v>0.0</v>
      </c>
      <c r="M11" s="7">
        <v>0.0</v>
      </c>
      <c r="N11" s="7">
        <v>11.0</v>
      </c>
      <c r="O11" s="7">
        <v>0.9</v>
      </c>
      <c r="S11" s="39" t="s">
        <v>60</v>
      </c>
      <c r="T11" s="39" t="s">
        <v>61</v>
      </c>
    </row>
    <row r="12">
      <c r="A12" s="40" t="s">
        <v>62</v>
      </c>
      <c r="B12" s="41">
        <f>SUM(B4:B11)</f>
        <v>2139</v>
      </c>
      <c r="C12" s="40" t="s">
        <v>62</v>
      </c>
      <c r="D12" s="42">
        <f>SUM(D4:D11)</f>
        <v>2620.113131</v>
      </c>
      <c r="E12" s="12" t="s">
        <v>182</v>
      </c>
      <c r="F12" s="27" t="s">
        <v>63</v>
      </c>
      <c r="G12" s="121">
        <f>(L10+L11+L12)*N11*12</f>
        <v>2112</v>
      </c>
      <c r="H12" s="87" t="s">
        <v>64</v>
      </c>
      <c r="I12" s="29"/>
      <c r="K12" s="13"/>
      <c r="L12" s="7">
        <v>6.0</v>
      </c>
      <c r="M12" s="1"/>
      <c r="N12" s="7">
        <v>11.0</v>
      </c>
      <c r="O12" s="7">
        <v>0.8</v>
      </c>
      <c r="S12" s="13" t="s">
        <v>65</v>
      </c>
      <c r="T12" s="13">
        <v>200.0</v>
      </c>
    </row>
    <row r="13">
      <c r="F13" s="27" t="s">
        <v>66</v>
      </c>
      <c r="G13" s="120">
        <v>400.0</v>
      </c>
      <c r="I13" s="29"/>
      <c r="K13" s="12" t="s">
        <v>67</v>
      </c>
      <c r="P13" s="43" t="s">
        <v>68</v>
      </c>
      <c r="Q13" s="7">
        <v>1000.0</v>
      </c>
    </row>
    <row r="14">
      <c r="F14" s="30"/>
      <c r="G14" s="29"/>
      <c r="H14" s="13" t="s">
        <v>219</v>
      </c>
      <c r="I14" s="36">
        <v>0.0</v>
      </c>
      <c r="K14" s="44" t="s">
        <v>69</v>
      </c>
      <c r="L14" s="45"/>
      <c r="M14" s="44" t="s">
        <v>70</v>
      </c>
      <c r="N14" s="46" t="s">
        <v>2</v>
      </c>
      <c r="P14" s="43" t="s">
        <v>71</v>
      </c>
      <c r="Q14" s="7">
        <v>30.0</v>
      </c>
    </row>
    <row r="15">
      <c r="F15" s="27" t="s">
        <v>72</v>
      </c>
      <c r="G15" s="119">
        <f>G30*0.2</f>
        <v>0.1131313131</v>
      </c>
      <c r="I15" s="29"/>
      <c r="K15" s="7">
        <v>0.0</v>
      </c>
      <c r="L15" s="47" t="s">
        <v>73</v>
      </c>
      <c r="M15" s="7">
        <v>2.0</v>
      </c>
      <c r="N15" s="48">
        <v>0.0</v>
      </c>
      <c r="P15" s="43" t="s">
        <v>74</v>
      </c>
      <c r="Q15" s="7">
        <v>300.0</v>
      </c>
      <c r="S15" s="49" t="s">
        <v>75</v>
      </c>
      <c r="T15" s="1"/>
    </row>
    <row r="16">
      <c r="F16" s="27" t="s">
        <v>76</v>
      </c>
      <c r="G16" s="36"/>
      <c r="I16" s="29"/>
      <c r="K16" s="7">
        <v>0.0</v>
      </c>
      <c r="L16" s="50" t="s">
        <v>77</v>
      </c>
      <c r="M16" s="7">
        <v>0.0</v>
      </c>
      <c r="N16" s="48">
        <v>0.0</v>
      </c>
      <c r="P16" s="51" t="s">
        <v>68</v>
      </c>
      <c r="Q16" s="7">
        <v>3000.0</v>
      </c>
      <c r="S16" s="47" t="s">
        <v>78</v>
      </c>
      <c r="T16" s="7">
        <v>8.0</v>
      </c>
    </row>
    <row r="17">
      <c r="F17" s="27" t="s">
        <v>80</v>
      </c>
      <c r="G17" s="36"/>
      <c r="H17" s="13" t="s">
        <v>81</v>
      </c>
      <c r="I17" s="13">
        <v>1113.0</v>
      </c>
      <c r="P17" s="51" t="s">
        <v>71</v>
      </c>
      <c r="Q17" s="7">
        <v>50.0</v>
      </c>
      <c r="S17" s="47" t="s">
        <v>82</v>
      </c>
      <c r="T17" s="7" t="s">
        <v>83</v>
      </c>
    </row>
    <row r="18">
      <c r="F18" s="30"/>
      <c r="G18" s="29"/>
      <c r="I18" s="29"/>
      <c r="P18" s="51" t="s">
        <v>74</v>
      </c>
      <c r="Q18" s="7">
        <v>1000.0</v>
      </c>
    </row>
    <row r="19">
      <c r="F19" s="40" t="s">
        <v>62</v>
      </c>
      <c r="G19" s="53">
        <f>G3+G4+G5+G6+G7+G8+G9+G10+G11+G12+G13+G15+G16+G17</f>
        <v>6008.113131</v>
      </c>
      <c r="H19" s="54" t="s">
        <v>62</v>
      </c>
      <c r="I19" s="42">
        <f>I7+I9+I10+I11+I17</f>
        <v>5988</v>
      </c>
      <c r="K19" s="92" t="s">
        <v>84</v>
      </c>
      <c r="L19" s="93"/>
      <c r="M19" s="94"/>
      <c r="N19" s="94"/>
      <c r="O19" s="94"/>
      <c r="P19" s="94"/>
    </row>
    <row r="20">
      <c r="K20" s="95" t="s">
        <v>89</v>
      </c>
      <c r="L20" s="96" t="s">
        <v>90</v>
      </c>
      <c r="M20" s="96" t="s">
        <v>91</v>
      </c>
      <c r="N20" s="96" t="s">
        <v>92</v>
      </c>
      <c r="O20" s="96" t="s">
        <v>93</v>
      </c>
      <c r="P20" s="96" t="s">
        <v>94</v>
      </c>
      <c r="S20" s="49" t="s">
        <v>16</v>
      </c>
      <c r="T20" s="57" t="s">
        <v>85</v>
      </c>
      <c r="U20" s="57" t="s">
        <v>86</v>
      </c>
      <c r="V20" s="57" t="s">
        <v>87</v>
      </c>
      <c r="W20" s="57" t="s">
        <v>88</v>
      </c>
    </row>
    <row r="21">
      <c r="I21" s="97">
        <f>I19-G19</f>
        <v>-20.11313131</v>
      </c>
      <c r="K21" s="7" t="s">
        <v>126</v>
      </c>
      <c r="L21" s="7">
        <v>1.0</v>
      </c>
      <c r="M21" s="7">
        <v>1.0</v>
      </c>
      <c r="N21" s="7">
        <v>30.0</v>
      </c>
      <c r="O21" s="7">
        <v>300.0</v>
      </c>
      <c r="P21" s="7">
        <v>600.0</v>
      </c>
      <c r="S21" s="57" t="s">
        <v>0</v>
      </c>
      <c r="T21" s="7">
        <v>100.0</v>
      </c>
      <c r="U21" s="7">
        <v>100.0</v>
      </c>
      <c r="V21" s="7">
        <v>1.0</v>
      </c>
      <c r="W21" s="58">
        <v>4.0</v>
      </c>
    </row>
    <row r="22">
      <c r="F22" s="59" t="s">
        <v>95</v>
      </c>
      <c r="K22" s="7" t="s">
        <v>128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S22" s="57" t="s">
        <v>23</v>
      </c>
      <c r="T22" s="7">
        <v>200.0</v>
      </c>
      <c r="U22" s="7">
        <v>100.0</v>
      </c>
      <c r="V22" s="7">
        <v>1.0</v>
      </c>
      <c r="W22" s="7">
        <v>5.0</v>
      </c>
    </row>
    <row r="23">
      <c r="O23" s="60" t="s">
        <v>96</v>
      </c>
      <c r="P23" s="61"/>
      <c r="Q23" s="62">
        <v>1500.0</v>
      </c>
      <c r="S23" s="57" t="s">
        <v>5</v>
      </c>
      <c r="T23" s="7">
        <v>200.0</v>
      </c>
      <c r="U23" s="7">
        <v>100.0</v>
      </c>
      <c r="V23" s="7">
        <v>2.0</v>
      </c>
      <c r="W23" s="7">
        <v>6.0</v>
      </c>
    </row>
    <row r="24">
      <c r="K24" s="12" t="s">
        <v>97</v>
      </c>
      <c r="O24" s="27" t="s">
        <v>98</v>
      </c>
      <c r="Q24" s="63">
        <v>1000.0</v>
      </c>
    </row>
    <row r="25">
      <c r="F25" s="12" t="s">
        <v>99</v>
      </c>
      <c r="H25" s="98" t="s">
        <v>184</v>
      </c>
      <c r="K25" s="47" t="s">
        <v>100</v>
      </c>
      <c r="L25" s="7">
        <v>3000.0</v>
      </c>
      <c r="M25" s="47" t="s">
        <v>101</v>
      </c>
      <c r="N25" s="7">
        <v>0.0</v>
      </c>
      <c r="O25" s="27" t="s">
        <v>102</v>
      </c>
      <c r="Q25" s="63">
        <v>3000.0</v>
      </c>
      <c r="S25" s="64" t="s">
        <v>103</v>
      </c>
      <c r="T25" s="7">
        <v>200.0</v>
      </c>
    </row>
    <row r="26">
      <c r="F26" s="39" t="s">
        <v>104</v>
      </c>
      <c r="G26" s="123">
        <v>692.0</v>
      </c>
      <c r="H26" s="39" t="s">
        <v>105</v>
      </c>
      <c r="O26" s="66" t="s">
        <v>106</v>
      </c>
      <c r="P26" s="67"/>
      <c r="Q26" s="68">
        <v>4000.0</v>
      </c>
      <c r="S26" s="64" t="s">
        <v>107</v>
      </c>
      <c r="T26" s="7">
        <v>200.0</v>
      </c>
    </row>
    <row r="27">
      <c r="D27" s="13" t="s">
        <v>185</v>
      </c>
      <c r="F27" s="39" t="s">
        <v>108</v>
      </c>
      <c r="G27" s="123">
        <v>685.0</v>
      </c>
      <c r="H27" s="39" t="s">
        <v>109</v>
      </c>
      <c r="S27" s="64" t="s">
        <v>110</v>
      </c>
      <c r="T27" s="7">
        <v>10.0</v>
      </c>
    </row>
    <row r="28">
      <c r="F28" s="39" t="s">
        <v>216</v>
      </c>
      <c r="G28" s="189">
        <v>28.0</v>
      </c>
      <c r="H28" s="39" t="s">
        <v>112</v>
      </c>
      <c r="I28" s="13" t="s">
        <v>113</v>
      </c>
      <c r="K28" s="12" t="s">
        <v>187</v>
      </c>
      <c r="L28" s="100" t="s">
        <v>188</v>
      </c>
      <c r="M28" s="100" t="s">
        <v>154</v>
      </c>
      <c r="N28" s="100" t="s">
        <v>155</v>
      </c>
      <c r="O28" s="100" t="s">
        <v>189</v>
      </c>
      <c r="S28" s="64" t="s">
        <v>115</v>
      </c>
      <c r="T28" s="7">
        <v>5.0</v>
      </c>
    </row>
    <row r="29">
      <c r="F29" s="39" t="s">
        <v>217</v>
      </c>
      <c r="G29" s="111">
        <v>665.0</v>
      </c>
      <c r="H29" s="4"/>
      <c r="K29" s="69" t="s">
        <v>0</v>
      </c>
      <c r="L29" s="7">
        <v>14.0</v>
      </c>
      <c r="M29" s="7">
        <v>146.0</v>
      </c>
      <c r="N29" s="7">
        <v>160.0</v>
      </c>
      <c r="O29" s="7">
        <v>0.0</v>
      </c>
    </row>
    <row r="30">
      <c r="F30" s="39" t="s">
        <v>118</v>
      </c>
      <c r="G30" s="101">
        <f>(G32/365)*G33</f>
        <v>0.5656565657</v>
      </c>
      <c r="H30" s="39" t="s">
        <v>119</v>
      </c>
      <c r="K30" s="69" t="s">
        <v>23</v>
      </c>
      <c r="L30" s="7">
        <v>0.0</v>
      </c>
      <c r="M30" s="7">
        <v>0.0</v>
      </c>
      <c r="N30" s="7">
        <v>0.0</v>
      </c>
      <c r="O30" s="7">
        <v>0.0</v>
      </c>
    </row>
    <row r="31" ht="19.5" customHeight="1">
      <c r="F31" s="39" t="s">
        <v>209</v>
      </c>
      <c r="G31" s="102">
        <f>G29-D9</f>
        <v>664.8868687</v>
      </c>
      <c r="H31" s="39" t="s">
        <v>122</v>
      </c>
      <c r="I31" s="13" t="s">
        <v>113</v>
      </c>
      <c r="K31" s="100" t="s">
        <v>5</v>
      </c>
      <c r="L31" s="7">
        <v>0.0</v>
      </c>
      <c r="M31" s="7">
        <v>0.0</v>
      </c>
      <c r="N31" s="7">
        <v>0.0</v>
      </c>
      <c r="O31" s="7">
        <v>0.0</v>
      </c>
      <c r="S31" s="49" t="s">
        <v>123</v>
      </c>
      <c r="T31" s="70" t="s">
        <v>18</v>
      </c>
      <c r="U31" s="70" t="s">
        <v>124</v>
      </c>
      <c r="V31" s="70" t="s">
        <v>125</v>
      </c>
    </row>
    <row r="32">
      <c r="F32" s="13" t="s">
        <v>192</v>
      </c>
      <c r="G32" s="97">
        <f>G34*365</f>
        <v>14.74747475</v>
      </c>
      <c r="S32" s="70" t="s">
        <v>126</v>
      </c>
      <c r="T32" s="7">
        <v>1000.0</v>
      </c>
      <c r="U32" s="7">
        <v>30.0</v>
      </c>
      <c r="V32" s="7">
        <v>300.0</v>
      </c>
    </row>
    <row r="33">
      <c r="F33" s="13" t="s">
        <v>193</v>
      </c>
      <c r="G33" s="103">
        <f>(G28+0)/2</f>
        <v>14</v>
      </c>
      <c r="K33" s="12" t="s">
        <v>127</v>
      </c>
      <c r="S33" s="70" t="s">
        <v>128</v>
      </c>
      <c r="T33" s="7">
        <v>3000.0</v>
      </c>
      <c r="U33" s="7">
        <v>50.0</v>
      </c>
      <c r="V33" s="7">
        <v>1000.0</v>
      </c>
    </row>
    <row r="34">
      <c r="F34" s="13" t="s">
        <v>194</v>
      </c>
      <c r="G34" s="104">
        <f>G28/(G28+G29)</f>
        <v>0.0404040404</v>
      </c>
      <c r="K34" s="71" t="s">
        <v>129</v>
      </c>
      <c r="L34" s="72">
        <v>0.0</v>
      </c>
    </row>
    <row r="35">
      <c r="K35" s="13" t="s">
        <v>130</v>
      </c>
      <c r="S35" s="49" t="s">
        <v>131</v>
      </c>
    </row>
    <row r="36">
      <c r="K36" s="71" t="s">
        <v>132</v>
      </c>
      <c r="L36" s="72">
        <v>0.0</v>
      </c>
      <c r="S36" s="73" t="s">
        <v>133</v>
      </c>
      <c r="T36" s="7">
        <v>0.1</v>
      </c>
    </row>
    <row r="37">
      <c r="K37" s="13" t="s">
        <v>134</v>
      </c>
      <c r="S37" s="73" t="s">
        <v>135</v>
      </c>
      <c r="T37" s="7">
        <v>0.2</v>
      </c>
    </row>
    <row r="38">
      <c r="K38" s="71" t="s">
        <v>136</v>
      </c>
      <c r="L38" s="72">
        <v>0.0</v>
      </c>
      <c r="S38" s="73" t="s">
        <v>137</v>
      </c>
      <c r="T38" s="7">
        <v>0.05</v>
      </c>
    </row>
    <row r="39">
      <c r="K39" s="13" t="s">
        <v>138</v>
      </c>
      <c r="S39" s="73" t="s">
        <v>31</v>
      </c>
      <c r="T39" s="7">
        <v>1000.0</v>
      </c>
    </row>
    <row r="40">
      <c r="S40" s="73" t="s">
        <v>139</v>
      </c>
      <c r="T40" s="7">
        <v>0.3333</v>
      </c>
    </row>
    <row r="41">
      <c r="S41" s="73" t="s">
        <v>140</v>
      </c>
      <c r="T41" s="7">
        <v>50.0</v>
      </c>
    </row>
    <row r="42">
      <c r="K42" s="12" t="s">
        <v>141</v>
      </c>
    </row>
    <row r="43">
      <c r="K43" s="1"/>
      <c r="L43" s="74" t="s">
        <v>142</v>
      </c>
      <c r="M43" s="74" t="s">
        <v>143</v>
      </c>
      <c r="N43" s="74" t="s">
        <v>144</v>
      </c>
      <c r="O43" s="74" t="s">
        <v>145</v>
      </c>
      <c r="P43" s="74" t="s">
        <v>146</v>
      </c>
      <c r="Q43" s="74" t="s">
        <v>147</v>
      </c>
      <c r="R43" s="74" t="s">
        <v>148</v>
      </c>
      <c r="S43" s="74" t="s">
        <v>149</v>
      </c>
    </row>
    <row r="44">
      <c r="K44" s="74" t="s">
        <v>0</v>
      </c>
      <c r="L44" s="7">
        <v>18.0</v>
      </c>
      <c r="M44" s="7">
        <v>16.0</v>
      </c>
      <c r="N44" s="7">
        <v>200.0</v>
      </c>
      <c r="O44" s="7">
        <v>283.0</v>
      </c>
      <c r="P44" s="7">
        <v>400.0</v>
      </c>
      <c r="Q44" s="7">
        <v>10.0</v>
      </c>
      <c r="R44" s="7">
        <v>5.0</v>
      </c>
      <c r="S44" s="7">
        <v>160.0</v>
      </c>
    </row>
    <row r="45">
      <c r="K45" s="74" t="s">
        <v>4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</row>
    <row r="46">
      <c r="K46" s="74" t="s">
        <v>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</row>
    <row r="48">
      <c r="K48" s="49" t="s">
        <v>150</v>
      </c>
      <c r="L48" s="22" t="s">
        <v>0</v>
      </c>
      <c r="M48" s="1"/>
      <c r="N48" s="22" t="s">
        <v>23</v>
      </c>
      <c r="O48" s="1"/>
      <c r="P48" s="22" t="s">
        <v>24</v>
      </c>
      <c r="Q48" s="1"/>
      <c r="R48" s="1"/>
    </row>
    <row r="49">
      <c r="K49" s="1"/>
      <c r="L49" s="75" t="s">
        <v>2</v>
      </c>
      <c r="M49" s="75" t="s">
        <v>18</v>
      </c>
      <c r="N49" s="75" t="s">
        <v>2</v>
      </c>
      <c r="O49" s="75" t="s">
        <v>18</v>
      </c>
      <c r="P49" s="75" t="s">
        <v>2</v>
      </c>
      <c r="Q49" s="75" t="s">
        <v>18</v>
      </c>
      <c r="R49" s="75" t="s">
        <v>151</v>
      </c>
      <c r="T49" s="7" t="s">
        <v>152</v>
      </c>
      <c r="U49" s="76" t="s">
        <v>153</v>
      </c>
      <c r="V49" s="76" t="s">
        <v>154</v>
      </c>
      <c r="W49" s="76" t="s">
        <v>155</v>
      </c>
      <c r="X49" s="76" t="s">
        <v>188</v>
      </c>
    </row>
    <row r="50">
      <c r="K50" s="22" t="s">
        <v>157</v>
      </c>
      <c r="L50" s="7">
        <v>146.0</v>
      </c>
      <c r="M50" s="7">
        <v>18.0</v>
      </c>
      <c r="N50" s="7">
        <v>0.0</v>
      </c>
      <c r="O50" s="7">
        <v>0.0</v>
      </c>
      <c r="P50" s="7">
        <v>0.0</v>
      </c>
      <c r="Q50" s="7">
        <v>0.0</v>
      </c>
      <c r="R50" s="7">
        <v>-136.0</v>
      </c>
      <c r="T50" s="76" t="s">
        <v>0</v>
      </c>
      <c r="U50" s="7">
        <v>0.0</v>
      </c>
      <c r="V50" s="7">
        <v>146.0</v>
      </c>
      <c r="W50" s="7">
        <v>146.0</v>
      </c>
      <c r="X50" s="7">
        <v>14.0</v>
      </c>
    </row>
    <row r="51">
      <c r="K51" s="22" t="s">
        <v>158</v>
      </c>
      <c r="L51" s="7">
        <v>101.0</v>
      </c>
      <c r="M51" s="7">
        <v>16.0</v>
      </c>
      <c r="N51" s="7">
        <v>0.0</v>
      </c>
      <c r="O51" s="7">
        <v>0.0</v>
      </c>
      <c r="P51" s="7">
        <v>0.0</v>
      </c>
      <c r="Q51" s="7">
        <v>0.0</v>
      </c>
      <c r="R51" s="7">
        <v>-136.0</v>
      </c>
      <c r="T51" s="76" t="s">
        <v>23</v>
      </c>
      <c r="U51" s="7">
        <v>0.0</v>
      </c>
      <c r="V51" s="7">
        <v>0.0</v>
      </c>
      <c r="W51" s="7">
        <v>0.0</v>
      </c>
      <c r="X51" s="7">
        <v>0.0</v>
      </c>
    </row>
    <row r="52">
      <c r="K52" s="22" t="s">
        <v>159</v>
      </c>
      <c r="L52" s="7">
        <v>101.0</v>
      </c>
      <c r="M52" s="7">
        <v>16.0</v>
      </c>
      <c r="N52" s="7">
        <v>0.0</v>
      </c>
      <c r="O52" s="7">
        <v>0.0</v>
      </c>
      <c r="P52" s="7">
        <v>0.0</v>
      </c>
      <c r="Q52" s="7">
        <v>0.0</v>
      </c>
      <c r="R52" s="7">
        <v>-136.0</v>
      </c>
      <c r="T52" s="76" t="s">
        <v>24</v>
      </c>
      <c r="U52" s="7">
        <v>0.0</v>
      </c>
      <c r="V52" s="7">
        <v>0.0</v>
      </c>
      <c r="W52" s="7">
        <v>0.0</v>
      </c>
      <c r="X52" s="7">
        <v>0.0</v>
      </c>
    </row>
    <row r="53">
      <c r="K53" s="22" t="s">
        <v>160</v>
      </c>
      <c r="L53" s="7">
        <v>101.0</v>
      </c>
      <c r="M53" s="7">
        <v>16.0</v>
      </c>
      <c r="N53" s="7">
        <v>0.0</v>
      </c>
      <c r="O53" s="7">
        <v>0.0</v>
      </c>
      <c r="P53" s="7">
        <v>0.0</v>
      </c>
      <c r="Q53" s="7">
        <v>0.0</v>
      </c>
      <c r="R53" s="7">
        <v>-136.0</v>
      </c>
    </row>
    <row r="54">
      <c r="K54" s="22" t="s">
        <v>161</v>
      </c>
      <c r="L54" s="7">
        <v>101.0</v>
      </c>
      <c r="M54" s="7">
        <v>16.0</v>
      </c>
      <c r="N54" s="7">
        <v>0.0</v>
      </c>
      <c r="O54" s="7">
        <v>0.0</v>
      </c>
      <c r="P54" s="7">
        <v>0.0</v>
      </c>
      <c r="Q54" s="7">
        <v>0.0</v>
      </c>
      <c r="R54" s="7">
        <v>-136.0</v>
      </c>
      <c r="T54" s="49" t="s">
        <v>195</v>
      </c>
      <c r="U54" s="22" t="s">
        <v>0</v>
      </c>
      <c r="V54" s="1"/>
      <c r="W54" s="22" t="s">
        <v>23</v>
      </c>
      <c r="X54" s="1"/>
      <c r="Y54" s="22" t="s">
        <v>24</v>
      </c>
      <c r="Z54" s="1"/>
      <c r="AA54" s="1"/>
    </row>
    <row r="55">
      <c r="K55" s="22" t="s">
        <v>162</v>
      </c>
      <c r="L55" s="7">
        <v>101.0</v>
      </c>
      <c r="M55" s="7">
        <v>16.0</v>
      </c>
      <c r="N55" s="7">
        <v>0.0</v>
      </c>
      <c r="O55" s="7">
        <v>0.0</v>
      </c>
      <c r="P55" s="7">
        <v>0.0</v>
      </c>
      <c r="Q55" s="7">
        <v>0.0</v>
      </c>
      <c r="R55" s="7">
        <v>-136.0</v>
      </c>
      <c r="T55" s="1"/>
      <c r="U55" s="75" t="s">
        <v>2</v>
      </c>
      <c r="V55" s="75" t="s">
        <v>18</v>
      </c>
      <c r="W55" s="75" t="s">
        <v>2</v>
      </c>
      <c r="X55" s="75" t="s">
        <v>18</v>
      </c>
      <c r="Y55" s="75" t="s">
        <v>2</v>
      </c>
      <c r="Z55" s="75" t="s">
        <v>18</v>
      </c>
      <c r="AA55" s="75" t="s">
        <v>151</v>
      </c>
    </row>
    <row r="56">
      <c r="K56" s="22" t="s">
        <v>163</v>
      </c>
      <c r="L56" s="7">
        <v>101.0</v>
      </c>
      <c r="M56" s="7">
        <v>16.0</v>
      </c>
      <c r="N56" s="7">
        <v>0.0</v>
      </c>
      <c r="O56" s="7">
        <v>0.0</v>
      </c>
      <c r="P56" s="7">
        <v>0.0</v>
      </c>
      <c r="Q56" s="7">
        <v>0.0</v>
      </c>
      <c r="R56" s="7">
        <v>-136.0</v>
      </c>
      <c r="T56" s="22" t="s">
        <v>196</v>
      </c>
      <c r="U56" s="7">
        <v>101.0</v>
      </c>
      <c r="V56" s="7">
        <v>16.0</v>
      </c>
      <c r="W56" s="7">
        <v>0.0</v>
      </c>
      <c r="X56" s="7">
        <v>0.0</v>
      </c>
      <c r="Y56" s="7">
        <v>0.0</v>
      </c>
      <c r="Z56" s="7">
        <v>0.0</v>
      </c>
      <c r="AA56" s="7">
        <v>-136.0</v>
      </c>
    </row>
    <row r="57">
      <c r="K57" s="22" t="s">
        <v>62</v>
      </c>
      <c r="L57" s="7">
        <v>707.0</v>
      </c>
      <c r="M57" s="7">
        <v>16.0</v>
      </c>
      <c r="N57" s="7">
        <v>0.0</v>
      </c>
      <c r="O57" s="7">
        <v>0.0</v>
      </c>
      <c r="P57" s="7">
        <v>0.0</v>
      </c>
      <c r="Q57" s="7">
        <v>0.0</v>
      </c>
      <c r="R57" s="1"/>
      <c r="T57" s="22" t="s">
        <v>197</v>
      </c>
      <c r="U57" s="7">
        <v>146.0</v>
      </c>
      <c r="V57" s="7">
        <v>18.0</v>
      </c>
      <c r="W57" s="7">
        <v>0.0</v>
      </c>
      <c r="X57" s="7">
        <v>0.0</v>
      </c>
      <c r="Y57" s="7">
        <v>0.0</v>
      </c>
      <c r="Z57" s="7">
        <v>0.0</v>
      </c>
      <c r="AA57" s="7">
        <v>-103.0</v>
      </c>
    </row>
    <row r="58">
      <c r="K58" s="1"/>
      <c r="L58" s="1"/>
      <c r="M58" s="1"/>
      <c r="N58" s="1"/>
      <c r="O58" s="1"/>
      <c r="P58" s="1"/>
      <c r="Q58" s="75" t="s">
        <v>164</v>
      </c>
      <c r="R58" s="77">
        <v>-135.6</v>
      </c>
      <c r="T58" s="22" t="s">
        <v>198</v>
      </c>
      <c r="U58" s="7">
        <v>122.0</v>
      </c>
      <c r="V58" s="7">
        <v>18.0</v>
      </c>
      <c r="W58" s="7">
        <v>72.0</v>
      </c>
      <c r="X58" s="7">
        <v>16.0</v>
      </c>
      <c r="Y58" s="7"/>
      <c r="Z58" s="7"/>
      <c r="AA58" s="7">
        <v>-52.0</v>
      </c>
    </row>
    <row r="59">
      <c r="K59" s="75" t="s">
        <v>165</v>
      </c>
      <c r="L59" s="75" t="s">
        <v>166</v>
      </c>
      <c r="M59" s="1"/>
      <c r="N59" s="1"/>
      <c r="O59" s="1"/>
      <c r="P59" s="1"/>
      <c r="Q59" s="1"/>
      <c r="R59" s="1"/>
      <c r="T59" s="22" t="s">
        <v>199</v>
      </c>
      <c r="U59" s="7"/>
      <c r="V59" s="7"/>
      <c r="W59" s="7"/>
      <c r="X59" s="7"/>
      <c r="Y59" s="7"/>
      <c r="Z59" s="7"/>
      <c r="AA59" s="7"/>
    </row>
    <row r="60">
      <c r="T60" s="22" t="s">
        <v>200</v>
      </c>
      <c r="U60" s="7">
        <v>110.0</v>
      </c>
      <c r="V60" s="7">
        <v>18.0</v>
      </c>
      <c r="W60" s="7">
        <v>136.0</v>
      </c>
      <c r="X60" s="7">
        <v>16.0</v>
      </c>
      <c r="Y60" s="7"/>
      <c r="Z60" s="7"/>
      <c r="AA60" s="7">
        <v>887.0</v>
      </c>
    </row>
    <row r="61">
      <c r="K61" s="1"/>
      <c r="L61" s="49" t="s">
        <v>167</v>
      </c>
      <c r="M61" s="1"/>
      <c r="T61" s="22" t="s">
        <v>201</v>
      </c>
      <c r="U61" s="7">
        <v>88.0</v>
      </c>
      <c r="V61" s="7">
        <v>18.0</v>
      </c>
      <c r="W61" s="7">
        <v>216.0</v>
      </c>
      <c r="X61" s="7">
        <v>16.0</v>
      </c>
      <c r="Y61" s="7"/>
      <c r="Z61" s="7"/>
      <c r="AA61" s="7">
        <v>751.0</v>
      </c>
    </row>
    <row r="62">
      <c r="K62" s="1"/>
      <c r="L62" s="7" t="s">
        <v>168</v>
      </c>
      <c r="M62" s="78" t="s">
        <v>169</v>
      </c>
      <c r="T62" s="22" t="s">
        <v>202</v>
      </c>
      <c r="U62" s="7">
        <v>55.0</v>
      </c>
      <c r="V62" s="7">
        <v>18.0</v>
      </c>
      <c r="W62" s="7">
        <v>224.0</v>
      </c>
      <c r="X62" s="7">
        <v>16.0</v>
      </c>
      <c r="Y62" s="7"/>
      <c r="Z62" s="7"/>
      <c r="AA62" s="7">
        <v>86.0</v>
      </c>
    </row>
    <row r="63" ht="21.0" customHeight="1">
      <c r="K63" s="78" t="s">
        <v>0</v>
      </c>
      <c r="L63" s="49" t="s">
        <v>170</v>
      </c>
      <c r="M63" s="78" t="s">
        <v>171</v>
      </c>
      <c r="T63" s="22" t="s">
        <v>220</v>
      </c>
      <c r="U63" s="7">
        <v>51.0</v>
      </c>
      <c r="V63" s="7">
        <v>18.0</v>
      </c>
      <c r="W63" s="7">
        <v>175.0</v>
      </c>
      <c r="X63" s="7">
        <v>16.0</v>
      </c>
      <c r="Y63" s="7"/>
      <c r="Z63" s="7"/>
      <c r="AA63" s="7">
        <v>-463.0</v>
      </c>
    </row>
    <row r="64">
      <c r="T64" s="187" t="s">
        <v>226</v>
      </c>
      <c r="U64" s="7">
        <v>50.0</v>
      </c>
      <c r="V64" s="7">
        <v>18.0</v>
      </c>
      <c r="W64" s="7">
        <v>186.0</v>
      </c>
      <c r="X64" s="7">
        <v>15.0</v>
      </c>
      <c r="Y64" s="7">
        <v>220.0</v>
      </c>
      <c r="Z64" s="7">
        <v>16.0</v>
      </c>
      <c r="AA64" s="7">
        <v>1023.0</v>
      </c>
    </row>
    <row r="65">
      <c r="K65" s="49" t="s">
        <v>172</v>
      </c>
      <c r="L65" s="47" t="s">
        <v>173</v>
      </c>
      <c r="M65" s="47" t="s">
        <v>174</v>
      </c>
      <c r="N65" s="47" t="s">
        <v>175</v>
      </c>
      <c r="O65" s="47" t="s">
        <v>176</v>
      </c>
      <c r="P65" s="47" t="s">
        <v>177</v>
      </c>
    </row>
    <row r="66">
      <c r="K66" s="47" t="s">
        <v>178</v>
      </c>
      <c r="L66" s="7">
        <v>2880.0</v>
      </c>
      <c r="M66" s="7">
        <v>2880.0</v>
      </c>
      <c r="N66" s="7">
        <v>3575.0</v>
      </c>
      <c r="O66" s="7">
        <v>0.0</v>
      </c>
      <c r="P66" s="79">
        <v>1.0</v>
      </c>
    </row>
    <row r="67">
      <c r="K67" s="47" t="s">
        <v>6</v>
      </c>
      <c r="L67" s="7">
        <v>-45.0</v>
      </c>
      <c r="M67" s="7">
        <v>-103.0</v>
      </c>
      <c r="N67" s="7">
        <v>576.0</v>
      </c>
      <c r="O67" s="7">
        <v>-58.0</v>
      </c>
      <c r="P67" s="79">
        <v>0.9</v>
      </c>
    </row>
    <row r="70">
      <c r="K70" s="12" t="s">
        <v>179</v>
      </c>
      <c r="L70" s="13" t="s">
        <v>180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227</v>
      </c>
      <c r="B1" s="190">
        <v>2024.0</v>
      </c>
      <c r="C1" s="190">
        <v>2025.0</v>
      </c>
      <c r="D1" s="190">
        <v>2026.0</v>
      </c>
      <c r="E1" s="190">
        <v>2027.0</v>
      </c>
      <c r="F1" s="190">
        <v>2028.0</v>
      </c>
      <c r="G1" s="190">
        <v>2029.0</v>
      </c>
      <c r="H1" s="190">
        <v>2030.0</v>
      </c>
      <c r="I1" s="190">
        <v>2031.0</v>
      </c>
      <c r="J1" s="191">
        <v>2032.0</v>
      </c>
    </row>
    <row r="2">
      <c r="A2" s="192" t="s">
        <v>228</v>
      </c>
      <c r="B2" s="13">
        <v>0.0</v>
      </c>
      <c r="C2" s="13">
        <v>14.0</v>
      </c>
      <c r="D2" s="13">
        <v>0.0</v>
      </c>
      <c r="E2" s="13">
        <v>58.0</v>
      </c>
      <c r="F2" s="13">
        <v>149.0</v>
      </c>
      <c r="G2" s="13">
        <v>115.0</v>
      </c>
      <c r="H2" s="13">
        <v>136.0</v>
      </c>
      <c r="I2" s="13">
        <v>210.0</v>
      </c>
      <c r="J2" s="13">
        <v>45.0</v>
      </c>
    </row>
    <row r="3">
      <c r="A3" s="192" t="s">
        <v>229</v>
      </c>
      <c r="B3" s="13">
        <v>115.0</v>
      </c>
      <c r="C3" s="13">
        <v>146.0</v>
      </c>
      <c r="D3" s="13">
        <v>252.0</v>
      </c>
      <c r="E3" s="13">
        <v>285.0</v>
      </c>
      <c r="F3" s="13">
        <v>225.0</v>
      </c>
      <c r="G3" s="13">
        <v>270.0</v>
      </c>
      <c r="H3" s="13">
        <v>300.0</v>
      </c>
      <c r="I3" s="13">
        <v>300.0</v>
      </c>
      <c r="J3" s="13">
        <v>291.0</v>
      </c>
    </row>
    <row r="4">
      <c r="A4" s="192" t="s">
        <v>230</v>
      </c>
      <c r="B4" s="13">
        <v>101.0</v>
      </c>
      <c r="C4" s="13">
        <v>160.0</v>
      </c>
      <c r="D4" s="13">
        <v>194.0</v>
      </c>
      <c r="E4" s="13">
        <v>173.0</v>
      </c>
      <c r="F4" s="13">
        <v>246.0</v>
      </c>
      <c r="G4" s="13">
        <v>304.0</v>
      </c>
      <c r="H4" s="13">
        <v>279.0</v>
      </c>
      <c r="I4" s="13">
        <v>226.0</v>
      </c>
      <c r="J4" s="13">
        <v>456.0</v>
      </c>
    </row>
    <row r="5">
      <c r="B5" s="193">
        <f t="shared" ref="B5:J5" si="1">B4*100/(B3+B2)</f>
        <v>87.82608696</v>
      </c>
      <c r="C5" s="193">
        <f t="shared" si="1"/>
        <v>100</v>
      </c>
      <c r="D5" s="193">
        <f t="shared" si="1"/>
        <v>76.98412698</v>
      </c>
      <c r="E5" s="193">
        <f t="shared" si="1"/>
        <v>50.43731778</v>
      </c>
      <c r="F5" s="193">
        <f t="shared" si="1"/>
        <v>65.77540107</v>
      </c>
      <c r="G5" s="193">
        <f t="shared" si="1"/>
        <v>78.96103896</v>
      </c>
      <c r="H5" s="193">
        <f t="shared" si="1"/>
        <v>63.99082569</v>
      </c>
      <c r="I5" s="193">
        <f t="shared" si="1"/>
        <v>44.31372549</v>
      </c>
      <c r="J5" s="193">
        <f t="shared" si="1"/>
        <v>135.7142857</v>
      </c>
    </row>
  </sheetData>
  <drawing r:id="rId1"/>
</worksheet>
</file>